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35151a680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Чек-лист" sheetId="1" r:id="R022bd5f5f64e4172"/>
    <x:sheet xmlns:r="http://schemas.openxmlformats.org/officeDocument/2006/relationships" name="Баг-репорты" sheetId="2" r:id="R49409a3e32d84a7c"/>
    <x:sheet xmlns:r="http://schemas.openxmlformats.org/officeDocument/2006/relationships" name="Общие сведения" sheetId="3" r:id="R658c57d2e089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12304A"/>
      <x:name val="Carlito"/>
    </x:font>
    <x:font>
      <x:b/>
      <x:sz val="9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167D8D"/>
      </x:patternFill>
    </x:fill>
    <x:fill>
      <x:patternFill patternType="solid">
        <x:fgColor rgb="FFDCEFF2"/>
      </x:patternFill>
    </x:fill>
  </x:fills>
  <x:borders count="22">
    <x:border/>
    <x:border/>
    <x:border>
      <x:left style="thin">
        <x:color rgb="FFB7C9D3"/>
      </x:left>
      <x:top style="thin">
        <x:color rgb="FFB7C9D3"/>
      </x:top>
      <x:bottom style="thin">
        <x:color rgb="FFB7C9D3"/>
      </x:bottom>
    </x:border>
    <x:border>
      <x:top style="thin">
        <x:color rgb="FFB7C9D3"/>
      </x:top>
      <x:bottom style="thin">
        <x:color rgb="FFB7C9D3"/>
      </x:bottom>
    </x:border>
    <x:border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left style="thin">
        <x:color rgb="FFB7C9D3"/>
      </x:left>
      <x:top style="thin">
        <x:color rgb="FFB7C9D3"/>
      </x:top>
      <x:bottom style="thin">
        <x:color rgb="FFB7C9D3"/>
      </x:bottom>
    </x:border>
    <x:border>
      <x:top style="thin">
        <x:color rgb="FFB7C9D3"/>
      </x:top>
      <x:bottom style="thin">
        <x:color rgb="FFB7C9D3"/>
      </x:bottom>
    </x:border>
    <x:border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left style="hair">
        <x:color rgb="FFE7EEF2"/>
      </x:left>
    </x:border>
    <x:border>
      <x:right style="hair">
        <x:color rgb="FFE7EEF2"/>
      </x:right>
    </x:border>
    <x:border>
      <x:left style="hair">
        <x:color rgb="FFE7EEF2"/>
      </x:left>
      <x:bottom style="hair">
        <x:color rgb="FFD9E3E8"/>
      </x:bottom>
    </x:border>
    <x:border>
      <x:bottom style="hair">
        <x:color rgb="FFD9E3E8"/>
      </x:bottom>
    </x:border>
    <x:border>
      <x:right style="hair">
        <x:color rgb="FFE7EEF2"/>
      </x:right>
      <x:bottom style="hair">
        <x:color rgb="FFD9E3E8"/>
      </x:bottom>
    </x:border>
    <x:border>
      <x:left style="hair">
        <x:color rgb="FFE7EEF2"/>
      </x:left>
    </x:border>
    <x:border>
      <x:right style="hair">
        <x:color rgb="FFE7EEF2"/>
      </x:right>
    </x:border>
    <x:border>
      <x:left style="hair">
        <x:color rgb="FFE7EEF2"/>
      </x:left>
      <x:bottom style="hair">
        <x:color rgb="FFD9E3E8"/>
      </x:bottom>
    </x:border>
    <x:border>
      <x:bottom style="hair">
        <x:color rgb="FFD9E3E8"/>
      </x:bottom>
    </x:border>
    <x:border>
      <x:right style="hair">
        <x:color rgb="FFE7EEF2"/>
      </x:right>
      <x:bottom style="hair">
        <x:color rgb="FFD9E3E8"/>
      </x:bottom>
    </x:border>
    <x:border>
      <x:left style="hair">
        <x:color rgb="FFE7EEF2"/>
      </x:left>
      <x:top style="thin">
        <x:color rgb="FFB7C9D3"/>
      </x:top>
      <x:bottom style="thin">
        <x:color rgb="FFB7C9D3"/>
      </x:bottom>
    </x:border>
    <x:border>
      <x:right style="hair">
        <x:color rgb="FFE7EEF2"/>
      </x:right>
      <x:top style="thin">
        <x:color rgb="FFB7C9D3"/>
      </x:top>
      <x:bottom style="thin">
        <x:color rgb="FFB7C9D3"/>
      </x:bottom>
    </x:border>
    <x:border>
      <x:left style="hair">
        <x:color rgb="FFE7EEF2"/>
      </x:left>
      <x:top style="thin">
        <x:color rgb="FFB7C9D3"/>
      </x:top>
      <x:bottom style="thin">
        <x:color rgb="FFB7C9D3"/>
      </x:bottom>
    </x:border>
    <x:border>
      <x:right style="hair">
        <x:color rgb="FFE7EEF2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5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horizontal="center" vertical="center" wrapText="1"/>
    </x:xf>
    <x:xf numFmtId="0" fontId="5" fillId="3" borderId="19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horizontal="center" vertical="top" wrapText="1"/>
    </x:xf>
    <x:xf numFmtId="0" fontId="5" fillId="3" borderId="19" xfId="0" applyNumberFormat="1" applyFont="1" applyFill="1" applyBorder="1" applyAlignment="1">
      <x:alignment horizontal="center" vertical="top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20" xfId="0" applyNumberFormat="1" applyFont="1" applyFill="1" applyBorder="1" applyAlignment="1">
      <x:alignment horizontal="center" vertical="center" wrapText="1"/>
    </x:xf>
    <x:xf numFmtId="0" fontId="5" fillId="3" borderId="21" xfId="0" applyNumberFormat="1" applyFont="1" applyFill="1" applyBorder="1" applyAlignment="1">
      <x:alignment horizontal="center" vertical="center" wrapText="1"/>
    </x:xf>
    <x:xf numFmtId="0" fontId="5" fillId="3" borderId="20" xfId="0" applyNumberFormat="1" applyFont="1" applyFill="1" applyBorder="1" applyAlignment="1">
      <x:alignment horizontal="center" vertical="top" wrapText="1"/>
    </x:xf>
    <x:xf numFmtId="0" fontId="5" fillId="3" borderId="2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d1fd5b6574159" /><Relationship Type="http://schemas.openxmlformats.org/officeDocument/2006/relationships/theme" Target="/xl/theme/theme1.xml" Id="R1ecb5c1b027b42bb" /><Relationship Type="http://schemas.openxmlformats.org/officeDocument/2006/relationships/sharedStrings" Target="/xl/sharedStrings.xml" Id="R8250f7a045f744c8" /><Relationship Type="http://schemas.openxmlformats.org/officeDocument/2006/relationships/worksheet" Target="/xl/worksheets/sheet1.xml" Id="R022bd5f5f64e4172" /><Relationship Type="http://schemas.openxmlformats.org/officeDocument/2006/relationships/worksheet" Target="/xl/worksheets/sheet2.xml" Id="R49409a3e32d84a7c" /><Relationship Type="http://schemas.openxmlformats.org/officeDocument/2006/relationships/worksheet" Target="/xl/worksheets/sheet3.xml" Id="R658c57d2e08949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ae490719fa4536" /><Relationship Type="http://schemas.openxmlformats.org/officeDocument/2006/relationships/chart" Target="/xl/drawings/charts/chart2.xml" Id="R714f47c00c1046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Состояние чек-листа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'Общие сведения'!$D$4:$D$9</c:f>
              <c:strCache>
                <c:ptCount val="0"/>
              </c:strCache>
            </c:strRef>
          </c:cat>
          <c:val>
            <c:numRef>
              <c:f>'Общие сведения'!$E$4:$E$9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Дефекты по Severity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'Общие сведения'!$G$4:$G$9</c:f>
              <c:strCache>
                <c:ptCount val="0"/>
              </c:strCache>
            </c:strRef>
          </c:cat>
          <c:val>
            <c:numRef>
              <c:f>'Общие сведения'!$H$4:$H$9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e490719fa4536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4f47c00c10462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boChecklistTable" displayName="RoboChecklistTable" ref="A3:J202" headerRowCount="1">
  <x:tableColumns count="10">
    <x:tableColumn id="1" name="ID"/>
    <x:tableColumn id="2" name="Раздел"/>
    <x:tableColumn id="3" name="Проверка"/>
    <x:tableColumn id="4" name="Предусловие"/>
    <x:tableColumn id="5" name="Ожидаемый результат"/>
    <x:tableColumn id="6" name="Приоритет"/>
    <x:tableColumn id="7" name="Тип"/>
    <x:tableColumn id="8" name="Автоматизация"/>
    <x:tableColumn id="9" name="Статус"/>
    <x:tableColumn id="10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RoboBugReportsTable" displayName="RoboBugReportsTable" ref="A3:N11" headerRowCount="1">
  <x:tableColumns count="14">
    <x:tableColumn id="1" name="ID"/>
    <x:tableColumn id="2" name="Заголовок"/>
    <x:tableColumn id="3" name="Модуль"/>
    <x:tableColumn id="4" name="Предусловие"/>
    <x:tableColumn id="5" name="Шаги"/>
    <x:tableColumn id="6" name="Фактический результат"/>
    <x:tableColumn id="7" name="Ожидаемый результат"/>
    <x:tableColumn id="8" name="Severity"/>
    <x:tableColumn id="9" name="Priority"/>
    <x:tableColumn id="10" name="Status"/>
    <x:tableColumn id="11" name="Окружение"/>
    <x:tableColumn id="12" name="Evidence"/>
    <x:tableColumn id="13" name="Источник"/>
    <x:tableColumn id="14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787a0ea97647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ca03fc8ec34e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a38bdd692004e7c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0" hidden="0" customWidth="1"/>
    <x:col min="4" max="4" width="38" hidden="0" customWidth="1"/>
    <x:col min="5" max="5" width="40" hidden="0" customWidth="1"/>
    <x:col min="6" max="6" width="11" hidden="0" customWidth="1"/>
    <x:col min="7" max="7" width="16" hidden="0" customWidth="1"/>
    <x:col min="8" max="8" width="15" hidden="0" customWidth="1"/>
    <x:col min="9" max="9" width="19" hidden="0" customWidth="1"/>
    <x:col min="10" max="10" width="28" hidden="0" customWidth="1"/>
  </x:cols>
  <x:sheetData>
    <x:row r="1" ht="30" customHeight="1">
      <x:c r="A1" s="5" t="str">
        <x:v>ROBO CLICKER — QA ЧЕК-ЛИСТ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2" customHeight="1">
      <x:c r="A3" s="21" t="str">
        <x:v>ID</x:v>
      </x:c>
      <x:c r="B3" s="22" t="str">
        <x:v>Раздел</x:v>
      </x:c>
      <x:c r="C3" s="22" t="str">
        <x:v>Проверка</x:v>
      </x:c>
      <x:c r="D3" s="22" t="str">
        <x:v>Предусловие</x:v>
      </x:c>
      <x:c r="E3" s="22" t="str">
        <x:v>Ожидаемый результат</x:v>
      </x:c>
      <x:c r="F3" s="22" t="str">
        <x:v>Приоритет</x:v>
      </x:c>
      <x:c r="G3" s="22" t="str">
        <x:v>Тип</x:v>
      </x:c>
      <x:c r="H3" s="22" t="str">
        <x:v>Автоматизация</x:v>
      </x:c>
      <x:c r="I3" s="22" t="str">
        <x:v>Статус</x:v>
      </x:c>
      <x:c r="J3" s="23" t="str">
        <x:v>Комментарий</x:v>
      </x:c>
    </x:row>
    <x:row r="4" ht="42" customHeight="1">
      <x:c r="A4" s="50" t="str">
        <x:v>CL-001</x:v>
      </x:c>
      <x:c r="B4" s="51" t="str">
        <x:v>Запуск и загрузка</x:v>
      </x:c>
      <x:c r="C4" s="51" t="str">
        <x:v>Страница открывается по HTTP без белого экрана</x:v>
      </x:c>
      <x:c r="D4" s="51" t="str">
        <x:v>Приложение открыто через локальный HTTP-сервер; localStorage очищен, если не указано иное.</x:v>
      </x:c>
      <x:c r="E4" s="51" t="str">
        <x:v>Отображается главное меню Robo Clicker.</x:v>
      </x:c>
      <x:c r="F4" s="51" t="str">
        <x:v>P0</x:v>
      </x:c>
      <x:c r="G4" s="51" t="str">
        <x:v>Smoke</x:v>
      </x:c>
      <x:c r="H4" s="51" t="str">
        <x:v>Да</x:v>
      </x:c>
      <x:c r="I4" s="51" t="str">
        <x:v>Не выполнено</x:v>
      </x:c>
      <x:c r="J4" s="52" t="str"/>
    </x:row>
    <x:row r="5" ht="42" customHeight="1">
      <x:c r="A5" s="50" t="str">
        <x:v>CL-002</x:v>
      </x:c>
      <x:c r="B5" s="51" t="str">
        <x:v>Запуск и загрузка</x:v>
      </x:c>
      <x:c r="C5" s="51" t="str">
        <x:v>Вкладка браузера содержит название Robo Clicker</x:v>
      </x:c>
      <x:c r="D5" s="51" t="str">
        <x:v>Приложение открыто через локальный HTTP-сервер; localStorage очищен, если не указано иное.</x:v>
      </x:c>
      <x:c r="E5" s="51" t="str">
        <x:v>Заголовок страницы соответствует названию игры.</x:v>
      </x:c>
      <x:c r="F5" s="51" t="str">
        <x:v>P3</x:v>
      </x:c>
      <x:c r="G5" s="51" t="str">
        <x:v>UI</x:v>
      </x:c>
      <x:c r="H5" s="51" t="str">
        <x:v>Да</x:v>
      </x:c>
      <x:c r="I5" s="51" t="str">
        <x:v>Не выполнено</x:v>
      </x:c>
      <x:c r="J5" s="52" t="str"/>
    </x:row>
    <x:row r="6" ht="42" customHeight="1">
      <x:c r="A6" s="50" t="str">
        <x:v>CL-003</x:v>
      </x:c>
      <x:c r="B6" s="51" t="str">
        <x:v>Запуск и загрузка</x:v>
      </x:c>
      <x:c r="C6" s="51" t="str">
        <x:v>Основные файлы index.html, style.css и script.js загружаются</x:v>
      </x:c>
      <x:c r="D6" s="51" t="str">
        <x:v>Приложение открыто через локальный HTTP-сервер; localStorage очищен, если не указано иное.</x:v>
      </x:c>
      <x:c r="E6" s="51" t="str">
        <x:v>Нет ошибок 404 для основных файлов приложения.</x:v>
      </x:c>
      <x:c r="F6" s="51" t="str">
        <x:v>P0</x:v>
      </x:c>
      <x:c r="G6" s="51" t="str">
        <x:v>Интеграционное</x:v>
      </x:c>
      <x:c r="H6" s="51" t="str">
        <x:v>Да</x:v>
      </x:c>
      <x:c r="I6" s="51" t="str">
        <x:v>Не выполнено</x:v>
      </x:c>
      <x:c r="J6" s="52" t="str"/>
    </x:row>
    <x:row r="7" ht="42" customHeight="1">
      <x:c r="A7" s="50" t="str">
        <x:v>CL-004</x:v>
      </x:c>
      <x:c r="B7" s="51" t="str">
        <x:v>Запуск и загрузка</x:v>
      </x:c>
      <x:c r="C7" s="51" t="str">
        <x:v>При отсутствии Yandex Games SDK включается локальный режим</x:v>
      </x:c>
      <x:c r="D7" s="51" t="str">
        <x:v>Приложение открыто через локальный HTTP-сервер; localStorage очищен, если не указано иное.</x:v>
      </x:c>
      <x:c r="E7" s="51" t="str">
        <x:v>Игра остаётся доступной; в Console только информационное сообщение о local mode.</x:v>
      </x:c>
      <x:c r="F7" s="51" t="str">
        <x:v>P1</x:v>
      </x:c>
      <x:c r="G7" s="51" t="str">
        <x:v>Негативное</x:v>
      </x:c>
      <x:c r="H7" s="51" t="str">
        <x:v>Да</x:v>
      </x:c>
      <x:c r="I7" s="51" t="str">
        <x:v>Не выполнено</x:v>
      </x:c>
      <x:c r="J7" s="52" t="str"/>
    </x:row>
    <x:row r="8" ht="42" customHeight="1">
      <x:c r="A8" s="50" t="str">
        <x:v>CL-005</x:v>
      </x:c>
      <x:c r="B8" s="51" t="str">
        <x:v>Запуск и загрузка</x:v>
      </x:c>
      <x:c r="C8" s="51" t="str">
        <x:v>Начальное значение золота равно 0</x:v>
      </x:c>
      <x:c r="D8" s="51" t="str">
        <x:v>Приложение открыто через локальный HTTP-сервер; localStorage очищен, если не указано иное.</x:v>
      </x:c>
      <x:c r="E8" s="51" t="str">
        <x:v>В счётчике отображается 0.</x:v>
      </x:c>
      <x:c r="F8" s="51" t="str">
        <x:v>P1</x:v>
      </x:c>
      <x:c r="G8" s="51" t="str">
        <x:v>Функциональное</x:v>
      </x:c>
      <x:c r="H8" s="51" t="str">
        <x:v>Да</x:v>
      </x:c>
      <x:c r="I8" s="51" t="str">
        <x:v>Не выполнено</x:v>
      </x:c>
      <x:c r="J8" s="52" t="str"/>
    </x:row>
    <x:row r="9" ht="42" customHeight="1">
      <x:c r="A9" s="50" t="str">
        <x:v>CL-006</x:v>
      </x:c>
      <x:c r="B9" s="51" t="str">
        <x:v>Запуск и загрузка</x:v>
      </x:c>
      <x:c r="C9" s="51" t="str">
        <x:v>Начальная сила клика равна 1</x:v>
      </x:c>
      <x:c r="D9" s="51" t="str">
        <x:v>Приложение открыто через локальный HTTP-сервер; localStorage очищен, если не указано иное.</x:v>
      </x:c>
      <x:c r="E9" s="51" t="str">
        <x:v>В верхней панели отображается 1.</x:v>
      </x:c>
      <x:c r="F9" s="51" t="str">
        <x:v>P1</x:v>
      </x:c>
      <x:c r="G9" s="51" t="str">
        <x:v>Функциональное</x:v>
      </x:c>
      <x:c r="H9" s="51" t="str">
        <x:v>Да</x:v>
      </x:c>
      <x:c r="I9" s="51" t="str">
        <x:v>Не выполнено</x:v>
      </x:c>
      <x:c r="J9" s="52" t="str"/>
    </x:row>
    <x:row r="10" ht="42" customHeight="1">
      <x:c r="A10" s="50" t="str">
        <x:v>CL-007</x:v>
      </x:c>
      <x:c r="B10" s="51" t="str">
        <x:v>Запуск и загрузка</x:v>
      </x:c>
      <x:c r="C10" s="51" t="str">
        <x:v>Начальный уровень равен LVL 0</x:v>
      </x:c>
      <x:c r="D10" s="51" t="str">
        <x:v>Приложение открыто через локальный HTTP-сервер; localStorage очищен, если не указано иное.</x:v>
      </x:c>
      <x:c r="E10" s="51" t="str">
        <x:v>Уровень и прогресс-бар отображаются корректно.</x:v>
      </x:c>
      <x:c r="F10" s="51" t="str">
        <x:v>P1</x:v>
      </x:c>
      <x:c r="G10" s="51" t="str">
        <x:v>Функциональное</x:v>
      </x:c>
      <x:c r="H10" s="51" t="str">
        <x:v>Да</x:v>
      </x:c>
      <x:c r="I10" s="51" t="str">
        <x:v>Не выполнено</x:v>
      </x:c>
      <x:c r="J10" s="52" t="str"/>
    </x:row>
    <x:row r="11" ht="42" customHeight="1">
      <x:c r="A11" s="50" t="str">
        <x:v>CL-008</x:v>
      </x:c>
      <x:c r="B11" s="51" t="str">
        <x:v>Запуск и загрузка</x:v>
      </x:c>
      <x:c r="C11" s="51" t="str">
        <x:v>Кнопки покупки недоступны при нулевом балансе</x:v>
      </x:c>
      <x:c r="D11" s="51" t="str">
        <x:v>Приложение открыто через локальный HTTP-сервер; localStorage очищен, если не указано иное.</x:v>
      </x:c>
      <x:c r="E11" s="51" t="str">
        <x:v>Кнопки улучшения клика и робота disabled.</x:v>
      </x:c>
      <x:c r="F11" s="51" t="str">
        <x:v>P1</x:v>
      </x:c>
      <x:c r="G11" s="51" t="str">
        <x:v>Негативное</x:v>
      </x:c>
      <x:c r="H11" s="51" t="str">
        <x:v>Да</x:v>
      </x:c>
      <x:c r="I11" s="51" t="str">
        <x:v>Не выполнено</x:v>
      </x:c>
      <x:c r="J11" s="52" t="str"/>
    </x:row>
    <x:row r="12" ht="42" customHeight="1">
      <x:c r="A12" s="50" t="str">
        <x:v>CL-009</x:v>
      </x:c>
      <x:c r="B12" s="51" t="str">
        <x:v>Запуск и загрузка</x:v>
      </x:c>
      <x:c r="C12" s="51" t="str">
        <x:v>Нет необработанных JavaScript-ошибок при загрузке</x:v>
      </x:c>
      <x:c r="D12" s="51" t="str">
        <x:v>Приложение открыто через локальный HTTP-сервер; localStorage очищен, если не указано иное.</x:v>
      </x:c>
      <x:c r="E12" s="51" t="str">
        <x:v>Console не содержит Uncaught Error/TypeError.</x:v>
      </x:c>
      <x:c r="F12" s="51" t="str">
        <x:v>P0</x:v>
      </x:c>
      <x:c r="G12" s="51" t="str">
        <x:v>Стабильность</x:v>
      </x:c>
      <x:c r="H12" s="51" t="str">
        <x:v>Да</x:v>
      </x:c>
      <x:c r="I12" s="51" t="str">
        <x:v>Не выполнено</x:v>
      </x:c>
      <x:c r="J12" s="52" t="str"/>
    </x:row>
    <x:row r="13" ht="42" customHeight="1">
      <x:c r="A13" s="50" t="str">
        <x:v>CL-010</x:v>
      </x:c>
      <x:c r="B13" s="51" t="str">
        <x:v>Запуск и загрузка</x:v>
      </x:c>
      <x:c r="C13" s="51" t="str">
        <x:v>Звуковые файлы доступны по фактическим путям проекта</x:v>
      </x:c>
      <x:c r="D13" s="51" t="str">
        <x:v>Приложение открыто через локальный HTTP-сервер; localStorage очищен, если не указано иное.</x:v>
      </x:c>
      <x:c r="E13" s="51" t="str">
        <x:v>Нет лишних 404 и задержки до fallback-аудио.</x:v>
      </x:c>
      <x:c r="F13" s="51" t="str">
        <x:v>P2</x:v>
      </x:c>
      <x:c r="G13" s="51" t="str">
        <x:v>Ресурсы</x:v>
      </x:c>
      <x:c r="H13" s="51" t="str">
        <x:v>Нет</x:v>
      </x:c>
      <x:c r="I13" s="51" t="str">
        <x:v>Не выполнено</x:v>
      </x:c>
      <x:c r="J13" s="52" t="str"/>
    </x:row>
    <x:row r="14" ht="42" customHeight="1">
      <x:c r="A14" s="50" t="str">
        <x:v>CL-011</x:v>
      </x:c>
      <x:c r="B14" s="51" t="str">
        <x:v>Главное меню и навигация</x:v>
      </x:c>
      <x:c r="C14" s="51" t="str">
        <x:v>Главное меню отображает название, описание и три основные кнопки</x:v>
      </x:c>
      <x:c r="D14" s="51" t="str">
        <x:v>Приложение открыто через локальный HTTP-сервер; localStorage очищен, если не указано иное.</x:v>
      </x:c>
      <x:c r="E14" s="51" t="str">
        <x:v>Элементы читаемы и не перекрываются.</x:v>
      </x:c>
      <x:c r="F14" s="51" t="str">
        <x:v>P1</x:v>
      </x:c>
      <x:c r="G14" s="51" t="str">
        <x:v>UI</x:v>
      </x:c>
      <x:c r="H14" s="51" t="str">
        <x:v>Да</x:v>
      </x:c>
      <x:c r="I14" s="51" t="str">
        <x:v>Не выполнено</x:v>
      </x:c>
      <x:c r="J14" s="52" t="str"/>
    </x:row>
    <x:row r="15" ht="42" customHeight="1">
      <x:c r="A15" s="50" t="str">
        <x:v>CL-012</x:v>
      </x:c>
      <x:c r="B15" s="51" t="str">
        <x:v>Главное меню и навигация</x:v>
      </x:c>
      <x:c r="C15" s="51" t="str">
        <x:v>Кнопка «Начать игру» открывает игровой экран</x:v>
      </x:c>
      <x:c r="D15" s="51" t="str">
        <x:v>Приложение открыто через локальный HTTP-сервер; localStorage очищен, если не указано иное.</x:v>
      </x:c>
      <x:c r="E15" s="51" t="str">
        <x:v>Главное меню скрывается, игровой интерфейс доступен.</x:v>
      </x:c>
      <x:c r="F15" s="51" t="str">
        <x:v>P0</x:v>
      </x:c>
      <x:c r="G15" s="51" t="str">
        <x:v>Smoke</x:v>
      </x:c>
      <x:c r="H15" s="51" t="str">
        <x:v>Да</x:v>
      </x:c>
      <x:c r="I15" s="51" t="str">
        <x:v>Не выполнено</x:v>
      </x:c>
      <x:c r="J15" s="52" t="str"/>
    </x:row>
    <x:row r="16" ht="42" customHeight="1">
      <x:c r="A16" s="50" t="str">
        <x:v>CL-013</x:v>
      </x:c>
      <x:c r="B16" s="51" t="str">
        <x:v>Главное меню и навигация</x:v>
      </x:c>
      <x:c r="C16" s="51" t="str">
        <x:v>Кнопка «Об игре» открывает модальное окно</x:v>
      </x:c>
      <x:c r="D16" s="51" t="str">
        <x:v>Приложение открыто через локальный HTTP-сервер; localStorage очищен, если не указано иное.</x:v>
      </x:c>
      <x:c r="E16" s="51" t="str">
        <x:v>Появляется описание проекта и кнопка закрытия.</x:v>
      </x:c>
      <x:c r="F16" s="51" t="str">
        <x:v>P2</x:v>
      </x:c>
      <x:c r="G16" s="51" t="str">
        <x:v>Функциональное</x:v>
      </x:c>
      <x:c r="H16" s="51" t="str">
        <x:v>Да</x:v>
      </x:c>
      <x:c r="I16" s="51" t="str">
        <x:v>Не выполнено</x:v>
      </x:c>
      <x:c r="J16" s="52" t="str"/>
    </x:row>
    <x:row r="17" ht="42" customHeight="1">
      <x:c r="A17" s="50" t="str">
        <x:v>CL-014</x:v>
      </x:c>
      <x:c r="B17" s="51" t="str">
        <x:v>Главное меню и навигация</x:v>
      </x:c>
      <x:c r="C17" s="51" t="str">
        <x:v>Крестик закрывает окно «Об игре»</x:v>
      </x:c>
      <x:c r="D17" s="51" t="str">
        <x:v>Приложение открыто через локальный HTTP-сервер; localStorage очищен, если не указано иное.</x:v>
      </x:c>
      <x:c r="E17" s="51" t="str">
        <x:v>Окно скрывается, пользователь возвращается в меню.</x:v>
      </x:c>
      <x:c r="F17" s="51" t="str">
        <x:v>P2</x:v>
      </x:c>
      <x:c r="G17" s="51" t="str">
        <x:v>Функциональное</x:v>
      </x:c>
      <x:c r="H17" s="51" t="str">
        <x:v>Да</x:v>
      </x:c>
      <x:c r="I17" s="51" t="str">
        <x:v>Не выполнено</x:v>
      </x:c>
      <x:c r="J17" s="52" t="str"/>
    </x:row>
    <x:row r="18" ht="42" customHeight="1">
      <x:c r="A18" s="50" t="str">
        <x:v>CL-015</x:v>
      </x:c>
      <x:c r="B18" s="51" t="str">
        <x:v>Главное меню и навигация</x:v>
      </x:c>
      <x:c r="C18" s="51" t="str">
        <x:v>Кнопка «ПОЕХАЛИ!» выполняет действие, соответствующее подписи</x:v>
      </x:c>
      <x:c r="D18" s="51" t="str">
        <x:v>Приложение открыто через локальный HTTP-сервер; localStorage очищен, если не указано иное.</x:v>
      </x:c>
      <x:c r="E18" s="51" t="str">
        <x:v>Игра запускается либо назначение кнопки однозначно объяснено.</x:v>
      </x:c>
      <x:c r="F18" s="51" t="str">
        <x:v>P1</x:v>
      </x:c>
      <x:c r="G18" s="51" t="str">
        <x:v>UX</x:v>
      </x:c>
      <x:c r="H18" s="51" t="str">
        <x:v>Нет</x:v>
      </x:c>
      <x:c r="I18" s="51" t="str">
        <x:v>Не выполнено</x:v>
      </x:c>
      <x:c r="J18" s="52" t="str"/>
    </x:row>
    <x:row r="19" ht="42" customHeight="1">
      <x:c r="A19" s="50" t="str">
        <x:v>CL-016</x:v>
      </x:c>
      <x:c r="B19" s="51" t="str">
        <x:v>Главное меню и навигация</x:v>
      </x:c>
      <x:c r="C19" s="51" t="str">
        <x:v>Кнопка «Настройки» открывает модальное окно</x:v>
      </x:c>
      <x:c r="D19" s="51" t="str">
        <x:v>Приложение открыто через локальный HTTP-сервер; localStorage очищен, если не указано иное.</x:v>
      </x:c>
      <x:c r="E19" s="51" t="str">
        <x:v>Доступны язык, звук, яркость, тема и сброс прогресса.</x:v>
      </x:c>
      <x:c r="F19" s="51" t="str">
        <x:v>P1</x:v>
      </x:c>
      <x:c r="G19" s="51" t="str">
        <x:v>Функциональное</x:v>
      </x:c>
      <x:c r="H19" s="51" t="str">
        <x:v>Да</x:v>
      </x:c>
      <x:c r="I19" s="51" t="str">
        <x:v>Не выполнено</x:v>
      </x:c>
      <x:c r="J19" s="52" t="str"/>
    </x:row>
    <x:row r="20" ht="42" customHeight="1">
      <x:c r="A20" s="50" t="str">
        <x:v>CL-017</x:v>
      </x:c>
      <x:c r="B20" s="51" t="str">
        <x:v>Главное меню и навигация</x:v>
      </x:c>
      <x:c r="C20" s="51" t="str">
        <x:v>Крестик закрывает окно настроек</x:v>
      </x:c>
      <x:c r="D20" s="51" t="str">
        <x:v>Приложение открыто через локальный HTTP-сервер; localStorage очищен, если не указано иное.</x:v>
      </x:c>
      <x:c r="E20" s="51" t="str">
        <x:v>Окно скрывается без изменения несохранённых игровых данных.</x:v>
      </x:c>
      <x:c r="F20" s="51" t="str">
        <x:v>P2</x:v>
      </x:c>
      <x:c r="G20" s="51" t="str">
        <x:v>Функциональное</x:v>
      </x:c>
      <x:c r="H20" s="51" t="str">
        <x:v>Да</x:v>
      </x:c>
      <x:c r="I20" s="51" t="str">
        <x:v>Не выполнено</x:v>
      </x:c>
      <x:c r="J20" s="52" t="str"/>
    </x:row>
    <x:row r="21" ht="42" customHeight="1">
      <x:c r="A21" s="50" t="str">
        <x:v>CL-018</x:v>
      </x:c>
      <x:c r="B21" s="51" t="str">
        <x:v>Главное меню и навигация</x:v>
      </x:c>
      <x:c r="C21" s="51" t="str">
        <x:v>Кнопка «В меню» возвращает из игры</x:v>
      </x:c>
      <x:c r="D21" s="51" t="str">
        <x:v>Приложение открыто через локальный HTTP-сервер; localStorage очищен, если не указано иное.</x:v>
      </x:c>
      <x:c r="E21" s="51" t="str">
        <x:v>Главное меню отображается; прогресс сохранён.</x:v>
      </x:c>
      <x:c r="F21" s="51" t="str">
        <x:v>P1</x:v>
      </x:c>
      <x:c r="G21" s="51" t="str">
        <x:v>Функциональное</x:v>
      </x:c>
      <x:c r="H21" s="51" t="str">
        <x:v>Да</x:v>
      </x:c>
      <x:c r="I21" s="51" t="str">
        <x:v>Не выполнено</x:v>
      </x:c>
      <x:c r="J21" s="52" t="str"/>
    </x:row>
    <x:row r="22" ht="42" customHeight="1">
      <x:c r="A22" s="50" t="str">
        <x:v>CL-019</x:v>
      </x:c>
      <x:c r="B22" s="51" t="str">
        <x:v>Главное меню и навигация</x:v>
      </x:c>
      <x:c r="C22" s="51" t="str">
        <x:v>Открытие одного игрового раздела закрывает предыдущий</x:v>
      </x:c>
      <x:c r="D22" s="51" t="str">
        <x:v>Приложение открыто через локальный HTTP-сервер; localStorage очищен, если не указано иное.</x:v>
      </x:c>
      <x:c r="E22" s="51" t="str">
        <x:v>Одновременно видна только одна feature-модалка.</x:v>
      </x:c>
      <x:c r="F22" s="51" t="str">
        <x:v>P2</x:v>
      </x:c>
      <x:c r="G22" s="51" t="str">
        <x:v>Переходы состояний</x:v>
      </x:c>
      <x:c r="H22" s="51" t="str">
        <x:v>Да</x:v>
      </x:c>
      <x:c r="I22" s="51" t="str">
        <x:v>Не выполнено</x:v>
      </x:c>
      <x:c r="J22" s="52" t="str"/>
    </x:row>
    <x:row r="23" ht="42" customHeight="1">
      <x:c r="A23" s="50" t="str">
        <x:v>CL-020</x:v>
      </x:c>
      <x:c r="B23" s="51" t="str">
        <x:v>Главное меню и навигация</x:v>
      </x:c>
      <x:c r="C23" s="51" t="str">
        <x:v>Клик по затемнённому фону закрывает Скины/Бусты/Достижения/Статистику</x:v>
      </x:c>
      <x:c r="D23" s="51" t="str">
        <x:v>Приложение открыто через локальный HTTP-сервер; localStorage очищен, если не указано иное.</x:v>
      </x:c>
      <x:c r="E23" s="51" t="str">
        <x:v>Модалка закрывается только при клике по backdrop.</x:v>
      </x:c>
      <x:c r="F23" s="51" t="str">
        <x:v>P2</x:v>
      </x:c>
      <x:c r="G23" s="51" t="str">
        <x:v>UX</x:v>
      </x:c>
      <x:c r="H23" s="51" t="str">
        <x:v>Да</x:v>
      </x:c>
      <x:c r="I23" s="51" t="str">
        <x:v>Не выполнено</x:v>
      </x:c>
      <x:c r="J23" s="52" t="str"/>
    </x:row>
    <x:row r="24" ht="42" customHeight="1">
      <x:c r="A24" s="50" t="str">
        <x:v>CL-021</x:v>
      </x:c>
      <x:c r="B24" s="51" t="str">
        <x:v>Главное меню и навигация</x:v>
      </x:c>
      <x:c r="C24" s="51" t="str">
        <x:v>ESC закрывает открытую feature-модалку</x:v>
      </x:c>
      <x:c r="D24" s="51" t="str">
        <x:v>Приложение открыто через локальный HTTP-сервер; localStorage очищен, если не указано иное.</x:v>
      </x:c>
      <x:c r="E24" s="51" t="str">
        <x:v>Пользователь возвращается к игровому экрану.</x:v>
      </x:c>
      <x:c r="F24" s="51" t="str">
        <x:v>P2</x:v>
      </x:c>
      <x:c r="G24" s="51" t="str">
        <x:v>Клавиатура</x:v>
      </x:c>
      <x:c r="H24" s="51" t="str">
        <x:v>Да</x:v>
      </x:c>
      <x:c r="I24" s="51" t="str">
        <x:v>Не выполнено</x:v>
      </x:c>
      <x:c r="J24" s="52" t="str"/>
    </x:row>
    <x:row r="25" ht="42" customHeight="1">
      <x:c r="A25" s="50" t="str">
        <x:v>CL-022</x:v>
      </x:c>
      <x:c r="B25" s="51" t="str">
        <x:v>Главное меню и навигация</x:v>
      </x:c>
      <x:c r="C25" s="51" t="str">
        <x:v>После закрытия модального окна автодоход возобновляется</x:v>
      </x:c>
      <x:c r="D25" s="51" t="str">
        <x:v>Приложение открыто через локальный HTTP-сервер; localStorage очищен, если не указано иное.</x:v>
      </x:c>
      <x:c r="E25" s="51" t="str">
        <x:v>Роботы снова начисляют монеты, если были куплены.</x:v>
      </x:c>
      <x:c r="F25" s="51" t="str">
        <x:v>P1</x:v>
      </x:c>
      <x:c r="G25" s="51" t="str">
        <x:v>Переходы состояний</x:v>
      </x:c>
      <x:c r="H25" s="51" t="str">
        <x:v>Нет</x:v>
      </x:c>
      <x:c r="I25" s="51" t="str">
        <x:v>Не выполнено</x:v>
      </x:c>
      <x:c r="J25" s="52" t="str"/>
    </x:row>
    <x:row r="26" ht="42" customHeight="1">
      <x:c r="A26" s="50" t="str">
        <x:v>CL-023</x:v>
      </x:c>
      <x:c r="B26" s="51" t="str">
        <x:v>Настройки</x:v>
      </x:c>
      <x:c r="C26" s="51" t="str">
        <x:v>Переключение RU → EN переводит статические элементы</x:v>
      </x:c>
      <x:c r="D26" s="51" t="str">
        <x:v>Приложение открыто через локальный HTTP-сервер; localStorage очищен, если не указано иное.</x:v>
      </x:c>
      <x:c r="E26" s="51" t="str">
        <x:v>Меню, кнопки, заголовки и aria-label отображаются на английском.</x:v>
      </x:c>
      <x:c r="F26" s="51" t="str">
        <x:v>P1</x:v>
      </x:c>
      <x:c r="G26" s="51" t="str">
        <x:v>Локализация</x:v>
      </x:c>
      <x:c r="H26" s="51" t="str">
        <x:v>Да</x:v>
      </x:c>
      <x:c r="I26" s="51" t="str">
        <x:v>Не выполнено</x:v>
      </x:c>
      <x:c r="J26" s="52" t="str"/>
    </x:row>
    <x:row r="27" ht="42" customHeight="1">
      <x:c r="A27" s="50" t="str">
        <x:v>CL-024</x:v>
      </x:c>
      <x:c r="B27" s="51" t="str">
        <x:v>Настройки</x:v>
      </x:c>
      <x:c r="C27" s="51" t="str">
        <x:v>Переключение EN → RU возвращает русский интерфейс</x:v>
      </x:c>
      <x:c r="D27" s="51" t="str">
        <x:v>Приложение открыто через локальный HTTP-сервер; localStorage очищен, если не указано иное.</x:v>
      </x:c>
      <x:c r="E27" s="51" t="str">
        <x:v>Все поддерживаемые элементы отображаются на русском.</x:v>
      </x:c>
      <x:c r="F27" s="51" t="str">
        <x:v>P1</x:v>
      </x:c>
      <x:c r="G27" s="51" t="str">
        <x:v>Локализация</x:v>
      </x:c>
      <x:c r="H27" s="51" t="str">
        <x:v>Да</x:v>
      </x:c>
      <x:c r="I27" s="51" t="str">
        <x:v>Не выполнено</x:v>
      </x:c>
      <x:c r="J27" s="52" t="str"/>
    </x:row>
    <x:row r="28" ht="42" customHeight="1">
      <x:c r="A28" s="50" t="str">
        <x:v>CL-025</x:v>
      </x:c>
      <x:c r="B28" s="51" t="str">
        <x:v>Настройки</x:v>
      </x:c>
      <x:c r="C28" s="51" t="str">
        <x:v>Выбранный язык сохраняется после перезагрузки</x:v>
      </x:c>
      <x:c r="D28" s="51" t="str">
        <x:v>Приложение открыто через локальный HTTP-сервер; localStorage очищен, если не указано иное.</x:v>
      </x:c>
      <x:c r="E28" s="51" t="str">
        <x:v>После reload остаётся выбранный пользователем язык.</x:v>
      </x:c>
      <x:c r="F28" s="51" t="str">
        <x:v>P1</x:v>
      </x:c>
      <x:c r="G28" s="51" t="str">
        <x:v>Сохранение</x:v>
      </x:c>
      <x:c r="H28" s="51" t="str">
        <x:v>Нет</x:v>
      </x:c>
      <x:c r="I28" s="51" t="str">
        <x:v>Не выполнено</x:v>
      </x:c>
      <x:c r="J28" s="52" t="str"/>
    </x:row>
    <x:row r="29" ht="42" customHeight="1">
      <x:c r="A29" s="50" t="str">
        <x:v>CL-026</x:v>
      </x:c>
      <x:c r="B29" s="51" t="str">
        <x:v>Настройки</x:v>
      </x:c>
      <x:c r="C29" s="51" t="str">
        <x:v>Тёмная тема применяется</x:v>
      </x:c>
      <x:c r="D29" s="51" t="str">
        <x:v>Приложение открыто через локальный HTTP-сервер; localStorage очищен, если не указано иное.</x:v>
      </x:c>
      <x:c r="E29" s="51" t="str">
        <x:v>body получает класс dark, контраст и компоненты корректны.</x:v>
      </x:c>
      <x:c r="F29" s="51" t="str">
        <x:v>P2</x:v>
      </x:c>
      <x:c r="G29" s="51" t="str">
        <x:v>UI</x:v>
      </x:c>
      <x:c r="H29" s="51" t="str">
        <x:v>Да</x:v>
      </x:c>
      <x:c r="I29" s="51" t="str">
        <x:v>Не выполнено</x:v>
      </x:c>
      <x:c r="J29" s="52" t="str"/>
    </x:row>
    <x:row r="30" ht="42" customHeight="1">
      <x:c r="A30" s="50" t="str">
        <x:v>CL-027</x:v>
      </x:c>
      <x:c r="B30" s="51" t="str">
        <x:v>Настройки</x:v>
      </x:c>
      <x:c r="C30" s="51" t="str">
        <x:v>Светлая тема применяется</x:v>
      </x:c>
      <x:c r="D30" s="51" t="str">
        <x:v>Приложение открыто через локальный HTTP-сервер; localStorage очищен, если не указано иное.</x:v>
      </x:c>
      <x:c r="E30" s="51" t="str">
        <x:v>body получает класс light_theme, текст остаётся читаемым.</x:v>
      </x:c>
      <x:c r="F30" s="51" t="str">
        <x:v>P2</x:v>
      </x:c>
      <x:c r="G30" s="51" t="str">
        <x:v>UI</x:v>
      </x:c>
      <x:c r="H30" s="51" t="str">
        <x:v>Да</x:v>
      </x:c>
      <x:c r="I30" s="51" t="str">
        <x:v>Не выполнено</x:v>
      </x:c>
      <x:c r="J30" s="52" t="str"/>
    </x:row>
    <x:row r="31" ht="42" customHeight="1">
      <x:c r="A31" s="50" t="str">
        <x:v>CL-028</x:v>
      </x:c>
      <x:c r="B31" s="51" t="str">
        <x:v>Настройки</x:v>
      </x:c>
      <x:c r="C31" s="51" t="str">
        <x:v>Автоматическая тема применяется</x:v>
      </x:c>
      <x:c r="D31" s="51" t="str">
        <x:v>Приложение открыто через локальный HTTP-сервер; localStorage очищен, если не указано иное.</x:v>
      </x:c>
      <x:c r="E31" s="51" t="str">
        <x:v>Оформление следует системной цветовой схеме.</x:v>
      </x:c>
      <x:c r="F31" s="51" t="str">
        <x:v>P2</x:v>
      </x:c>
      <x:c r="G31" s="51" t="str">
        <x:v>UI</x:v>
      </x:c>
      <x:c r="H31" s="51" t="str">
        <x:v>Нет</x:v>
      </x:c>
      <x:c r="I31" s="51" t="str">
        <x:v>Не выполнено</x:v>
      </x:c>
      <x:c r="J31" s="52" t="str"/>
    </x:row>
    <x:row r="32" ht="42" customHeight="1">
      <x:c r="A32" s="50" t="str">
        <x:v>CL-029</x:v>
      </x:c>
      <x:c r="B32" s="51" t="str">
        <x:v>Настройки</x:v>
      </x:c>
      <x:c r="C32" s="51" t="str">
        <x:v>Выбранная тема сохраняется после перезагрузки</x:v>
      </x:c>
      <x:c r="D32" s="51" t="str">
        <x:v>Приложение открыто через локальный HTTP-сервер; localStorage очищен, если не указано иное.</x:v>
      </x:c>
      <x:c r="E32" s="51" t="str">
        <x:v>Тема восстанавливается из localStorage.</x:v>
      </x:c>
      <x:c r="F32" s="51" t="str">
        <x:v>P1</x:v>
      </x:c>
      <x:c r="G32" s="51" t="str">
        <x:v>Сохранение</x:v>
      </x:c>
      <x:c r="H32" s="51" t="str">
        <x:v>Да</x:v>
      </x:c>
      <x:c r="I32" s="51" t="str">
        <x:v>Не выполнено</x:v>
      </x:c>
      <x:c r="J32" s="52" t="str"/>
    </x:row>
    <x:row r="33" ht="42" customHeight="1">
      <x:c r="A33" s="50" t="str">
        <x:v>CL-030</x:v>
      </x:c>
      <x:c r="B33" s="51" t="str">
        <x:v>Настройки</x:v>
      </x:c>
      <x:c r="C33" s="51" t="str">
        <x:v>Ползунок звука принимает значения 0–100</x:v>
      </x:c>
      <x:c r="D33" s="51" t="str">
        <x:v>Приложение открыто через локальный HTTP-сервер; localStorage очищен, если не указано иное.</x:v>
      </x:c>
      <x:c r="E33" s="51" t="str">
        <x:v>Значение не выходит за границы.</x:v>
      </x:c>
      <x:c r="F33" s="51" t="str">
        <x:v>P2</x:v>
      </x:c>
      <x:c r="G33" s="51" t="str">
        <x:v>Границы</x:v>
      </x:c>
      <x:c r="H33" s="51" t="str">
        <x:v>Да</x:v>
      </x:c>
      <x:c r="I33" s="51" t="str">
        <x:v>Не выполнено</x:v>
      </x:c>
      <x:c r="J33" s="52" t="str"/>
    </x:row>
    <x:row r="34" ht="42" customHeight="1">
      <x:c r="A34" s="50" t="str">
        <x:v>CL-031</x:v>
      </x:c>
      <x:c r="B34" s="51" t="str">
        <x:v>Настройки</x:v>
      </x:c>
      <x:c r="C34" s="51" t="str">
        <x:v>Звук 0 отключает игровые эффекты</x:v>
      </x:c>
      <x:c r="D34" s="51" t="str">
        <x:v>Приложение открыто через локальный HTTP-сервер; localStorage очищен, если не указано иное.</x:v>
      </x:c>
      <x:c r="E34" s="51" t="str">
        <x:v>Audio.play не вызывается либо звук не слышен.</x:v>
      </x:c>
      <x:c r="F34" s="51" t="str">
        <x:v>P2</x:v>
      </x:c>
      <x:c r="G34" s="51" t="str">
        <x:v>Мультимедиа</x:v>
      </x:c>
      <x:c r="H34" s="51" t="str">
        <x:v>Нет</x:v>
      </x:c>
      <x:c r="I34" s="51" t="str">
        <x:v>Не выполнено</x:v>
      </x:c>
      <x:c r="J34" s="52" t="str"/>
    </x:row>
    <x:row r="35" ht="42" customHeight="1">
      <x:c r="A35" s="50" t="str">
        <x:v>CL-032</x:v>
      </x:c>
      <x:c r="B35" s="51" t="str">
        <x:v>Настройки</x:v>
      </x:c>
      <x:c r="C35" s="51" t="str">
        <x:v>Значение громкости сохраняется</x:v>
      </x:c>
      <x:c r="D35" s="51" t="str">
        <x:v>Приложение открыто через локальный HTTP-сервер; localStorage очищен, если не указано иное.</x:v>
      </x:c>
      <x:c r="E35" s="51" t="str">
        <x:v>После перезагрузки ползунок и фактическая громкость совпадают.</x:v>
      </x:c>
      <x:c r="F35" s="51" t="str">
        <x:v>P2</x:v>
      </x:c>
      <x:c r="G35" s="51" t="str">
        <x:v>Сохранение</x:v>
      </x:c>
      <x:c r="H35" s="51" t="str">
        <x:v>Нет</x:v>
      </x:c>
      <x:c r="I35" s="51" t="str">
        <x:v>Не выполнено</x:v>
      </x:c>
      <x:c r="J35" s="52" t="str"/>
    </x:row>
    <x:row r="36" ht="42" customHeight="1">
      <x:c r="A36" s="50" t="str">
        <x:v>CL-033</x:v>
      </x:c>
      <x:c r="B36" s="51" t="str">
        <x:v>Настройки</x:v>
      </x:c>
      <x:c r="C36" s="51" t="str">
        <x:v>Ползунок яркости принимает значения 20–80</x:v>
      </x:c>
      <x:c r="D36" s="51" t="str">
        <x:v>Приложение открыто через локальный HTTP-сервер; localStorage очищен, если не указано иное.</x:v>
      </x:c>
      <x:c r="E36" s="51" t="str">
        <x:v>Значение ограничивается заданным диапазоном.</x:v>
      </x:c>
      <x:c r="F36" s="51" t="str">
        <x:v>P2</x:v>
      </x:c>
      <x:c r="G36" s="51" t="str">
        <x:v>Границы</x:v>
      </x:c>
      <x:c r="H36" s="51" t="str">
        <x:v>Да</x:v>
      </x:c>
      <x:c r="I36" s="51" t="str">
        <x:v>Не выполнено</x:v>
      </x:c>
      <x:c r="J36" s="52" t="str"/>
    </x:row>
    <x:row r="37" ht="42" customHeight="1">
      <x:c r="A37" s="50" t="str">
        <x:v>CL-034</x:v>
      </x:c>
      <x:c r="B37" s="51" t="str">
        <x:v>Настройки</x:v>
      </x:c>
      <x:c r="C37" s="51" t="str">
        <x:v>Яркость визуально изменяет интерфейс</x:v>
      </x:c>
      <x:c r="D37" s="51" t="str">
        <x:v>Приложение открыто через локальный HTTP-сервер; localStorage очищен, если не указано иное.</x:v>
      </x:c>
      <x:c r="E37" s="51" t="str">
        <x:v>CSS-переменная --screen-brightness изменяется пропорционально.</x:v>
      </x:c>
      <x:c r="F37" s="51" t="str">
        <x:v>P2</x:v>
      </x:c>
      <x:c r="G37" s="51" t="str">
        <x:v>UI</x:v>
      </x:c>
      <x:c r="H37" s="51" t="str">
        <x:v>Да</x:v>
      </x:c>
      <x:c r="I37" s="51" t="str">
        <x:v>Не выполнено</x:v>
      </x:c>
      <x:c r="J37" s="52" t="str"/>
    </x:row>
    <x:row r="38" ht="42" customHeight="1">
      <x:c r="A38" s="50" t="str">
        <x:v>CL-035</x:v>
      </x:c>
      <x:c r="B38" s="51" t="str">
        <x:v>Настройки</x:v>
      </x:c>
      <x:c r="C38" s="51" t="str">
        <x:v>Яркость сохраняется после перезагрузки</x:v>
      </x:c>
      <x:c r="D38" s="51" t="str">
        <x:v>Приложение открыто через локальный HTTP-сервер; localStorage очищен, если не указано иное.</x:v>
      </x:c>
      <x:c r="E38" s="51" t="str">
        <x:v>Ползунок и внешний вид восстановлены.</x:v>
      </x:c>
      <x:c r="F38" s="51" t="str">
        <x:v>P2</x:v>
      </x:c>
      <x:c r="G38" s="51" t="str">
        <x:v>Сохранение</x:v>
      </x:c>
      <x:c r="H38" s="51" t="str">
        <x:v>Нет</x:v>
      </x:c>
      <x:c r="I38" s="51" t="str">
        <x:v>Не выполнено</x:v>
      </x:c>
      <x:c r="J38" s="52" t="str"/>
    </x:row>
    <x:row r="39" ht="42" customHeight="1">
      <x:c r="A39" s="50" t="str">
        <x:v>CL-036</x:v>
      </x:c>
      <x:c r="B39" s="51" t="str">
        <x:v>Настройки</x:v>
      </x:c>
      <x:c r="C39" s="51" t="str">
        <x:v>Сброс прогресса требует подтверждающего удержания</x:v>
      </x:c>
      <x:c r="D39" s="51" t="str">
        <x:v>Приложение открыто через локальный HTTP-сервер; localStorage очищен, если не указано иное.</x:v>
      </x:c>
      <x:c r="E39" s="51" t="str">
        <x:v>Один случайный клик не удаляет данные.</x:v>
      </x:c>
      <x:c r="F39" s="51" t="str">
        <x:v>P0</x:v>
      </x:c>
      <x:c r="G39" s="51" t="str">
        <x:v>Негативное</x:v>
      </x:c>
      <x:c r="H39" s="51" t="str">
        <x:v>Нет</x:v>
      </x:c>
      <x:c r="I39" s="51" t="str">
        <x:v>Не выполнено</x:v>
      </x:c>
      <x:c r="J39" s="52" t="str"/>
    </x:row>
    <x:row r="40" ht="42" customHeight="1">
      <x:c r="A40" s="50" t="str">
        <x:v>CL-037</x:v>
      </x:c>
      <x:c r="B40" s="51" t="str">
        <x:v>Настройки</x:v>
      </x:c>
      <x:c r="C40" s="51" t="str">
        <x:v>Отмена удержания не сбрасывает прогресс</x:v>
      </x:c>
      <x:c r="D40" s="51" t="str">
        <x:v>Приложение открыто через локальный HTTP-сервер; localStorage очищен, если не указано иное.</x:v>
      </x:c>
      <x:c r="E40" s="51" t="str">
        <x:v>Данные остаются неизменными.</x:v>
      </x:c>
      <x:c r="F40" s="51" t="str">
        <x:v>P0</x:v>
      </x:c>
      <x:c r="G40" s="51" t="str">
        <x:v>Негативное</x:v>
      </x:c>
      <x:c r="H40" s="51" t="str">
        <x:v>Нет</x:v>
      </x:c>
      <x:c r="I40" s="51" t="str">
        <x:v>Не выполнено</x:v>
      </x:c>
      <x:c r="J40" s="52" t="str"/>
    </x:row>
    <x:row r="41" ht="42" customHeight="1">
      <x:c r="A41" s="50" t="str">
        <x:v>CL-038</x:v>
      </x:c>
      <x:c r="B41" s="51" t="str">
        <x:v>Настройки</x:v>
      </x:c>
      <x:c r="C41" s="51" t="str">
        <x:v>Удержание 3 секунды сбрасывает игровой прогресс</x:v>
      </x:c>
      <x:c r="D41" s="51" t="str">
        <x:v>Приложение открыто через локальный HTTP-сервер; localStorage очищен, если не указано иное.</x:v>
      </x:c>
      <x:c r="E41" s="51" t="str">
        <x:v>Монеты, покупки, уровень, скины, бусты и достижения возвращаются к начальному состоянию.</x:v>
      </x:c>
      <x:c r="F41" s="51" t="str">
        <x:v>P0</x:v>
      </x:c>
      <x:c r="G41" s="51" t="str">
        <x:v>Функциональное</x:v>
      </x:c>
      <x:c r="H41" s="51" t="str">
        <x:v>Нет</x:v>
      </x:c>
      <x:c r="I41" s="51" t="str">
        <x:v>Не выполнено</x:v>
      </x:c>
      <x:c r="J41" s="52" t="str"/>
    </x:row>
    <x:row r="42" ht="42" customHeight="1">
      <x:c r="A42" s="50" t="str">
        <x:v>CL-039</x:v>
      </x:c>
      <x:c r="B42" s="51" t="str">
        <x:v>Основной кликер</x:v>
      </x:c>
      <x:c r="C42" s="51" t="str">
        <x:v>Один клик по роботу начисляет базовую силу клика</x:v>
      </x:c>
      <x:c r="D42" s="51" t="str">
        <x:v>Приложение открыто через локальный HTTP-сервер; localStorage очищен, если не указано иное.</x:v>
      </x:c>
      <x:c r="E42" s="51" t="str">
        <x:v>При начальной силе баланс увеличивается с 0 до 1.</x:v>
      </x:c>
      <x:c r="F42" s="51" t="str">
        <x:v>P0</x:v>
      </x:c>
      <x:c r="G42" s="51" t="str">
        <x:v>Smoke</x:v>
      </x:c>
      <x:c r="H42" s="51" t="str">
        <x:v>Да</x:v>
      </x:c>
      <x:c r="I42" s="51" t="str">
        <x:v>Не выполнено</x:v>
      </x:c>
      <x:c r="J42" s="52" t="str"/>
    </x:row>
    <x:row r="43" ht="42" customHeight="1">
      <x:c r="A43" s="50" t="str">
        <x:v>CL-040</x:v>
      </x:c>
      <x:c r="B43" s="51" t="str">
        <x:v>Основной кликер</x:v>
      </x:c>
      <x:c r="C43" s="51" t="str">
        <x:v>Каждый следующий клик начисляет монеты</x:v>
      </x:c>
      <x:c r="D43" s="51" t="str">
        <x:v>Приложение открыто через локальный HTTP-сервер; localStorage очищен, если не указано иное.</x:v>
      </x:c>
      <x:c r="E43" s="51" t="str">
        <x:v>Баланс растёт без пропусков и двойного начисления.</x:v>
      </x:c>
      <x:c r="F43" s="51" t="str">
        <x:v>P0</x:v>
      </x:c>
      <x:c r="G43" s="51" t="str">
        <x:v>Функциональное</x:v>
      </x:c>
      <x:c r="H43" s="51" t="str">
        <x:v>Да</x:v>
      </x:c>
      <x:c r="I43" s="51" t="str">
        <x:v>Не выполнено</x:v>
      </x:c>
      <x:c r="J43" s="52" t="str"/>
    </x:row>
    <x:row r="44" ht="42" customHeight="1">
      <x:c r="A44" s="50" t="str">
        <x:v>CL-041</x:v>
      </x:c>
      <x:c r="B44" s="51" t="str">
        <x:v>Основной кликер</x:v>
      </x:c>
      <x:c r="C44" s="51" t="str">
        <x:v>Один pointerdown учитывается как один игровой клик</x:v>
      </x:c>
      <x:c r="D44" s="51" t="str">
        <x:v>Приложение открыто через локальный HTTP-сервер; localStorage очищен, если не указано иное.</x:v>
      </x:c>
      <x:c r="E44" s="51" t="str">
        <x:v>totalClicks увеличивается ровно на 1.</x:v>
      </x:c>
      <x:c r="F44" s="51" t="str">
        <x:v>P0</x:v>
      </x:c>
      <x:c r="G44" s="51" t="str">
        <x:v>Функциональное</x:v>
      </x:c>
      <x:c r="H44" s="51" t="str">
        <x:v>Да</x:v>
      </x:c>
      <x:c r="I44" s="51" t="str">
        <x:v>Не выполнено</x:v>
      </x:c>
      <x:c r="J44" s="52" t="str"/>
    </x:row>
    <x:row r="45" ht="42" customHeight="1">
      <x:c r="A45" s="50" t="str">
        <x:v>CL-042</x:v>
      </x:c>
      <x:c r="B45" s="51" t="str">
        <x:v>Основной кликер</x:v>
      </x:c>
      <x:c r="C45" s="51" t="str">
        <x:v>Быстрые последовательные клики обрабатываются</x:v>
      </x:c>
      <x:c r="D45" s="51" t="str">
        <x:v>Приложение открыто через локальный HTTP-сервер; localStorage очищен, если не указано иное.</x:v>
      </x:c>
      <x:c r="E45" s="51" t="str">
        <x:v>Счёт соответствует количеству событий.</x:v>
      </x:c>
      <x:c r="F45" s="51" t="str">
        <x:v>P1</x:v>
      </x:c>
      <x:c r="G45" s="51" t="str">
        <x:v>Нагрузочное локальное</x:v>
      </x:c>
      <x:c r="H45" s="51" t="str">
        <x:v>Нет</x:v>
      </x:c>
      <x:c r="I45" s="51" t="str">
        <x:v>Не выполнено</x:v>
      </x:c>
      <x:c r="J45" s="52" t="str"/>
    </x:row>
    <x:row r="46" ht="42" customHeight="1">
      <x:c r="A46" s="50" t="str">
        <x:v>CL-043</x:v>
      </x:c>
      <x:c r="B46" s="51" t="str">
        <x:v>Основной кликер</x:v>
      </x:c>
      <x:c r="C46" s="51" t="str">
        <x:v>Клик вне объекта не начисляет монеты</x:v>
      </x:c>
      <x:c r="D46" s="51" t="str">
        <x:v>Приложение открыто через локальный HTTP-сервер; localStorage очищен, если не указано иное.</x:v>
      </x:c>
      <x:c r="E46" s="51" t="str">
        <x:v>Баланс не изменяется.</x:v>
      </x:c>
      <x:c r="F46" s="51" t="str">
        <x:v>P1</x:v>
      </x:c>
      <x:c r="G46" s="51" t="str">
        <x:v>Негативное</x:v>
      </x:c>
      <x:c r="H46" s="51" t="str">
        <x:v>Да</x:v>
      </x:c>
      <x:c r="I46" s="51" t="str">
        <x:v>Не выполнено</x:v>
      </x:c>
      <x:c r="J46" s="52" t="str"/>
    </x:row>
    <x:row r="47" ht="42" customHeight="1">
      <x:c r="A47" s="50" t="str">
        <x:v>CL-044</x:v>
      </x:c>
      <x:c r="B47" s="51" t="str">
        <x:v>Основной кликер</x:v>
      </x:c>
      <x:c r="C47" s="51" t="str">
        <x:v>После клика появляется плавающее число</x:v>
      </x:c>
      <x:c r="D47" s="51" t="str">
        <x:v>Приложение открыто через локальный HTTP-сервер; localStorage очищен, если не указано иное.</x:v>
      </x:c>
      <x:c r="E47" s="51" t="str">
        <x:v>Отображается +N рядом с точкой клика и исчезает примерно через 0,9 с.</x:v>
      </x:c>
      <x:c r="F47" s="51" t="str">
        <x:v>P3</x:v>
      </x:c>
      <x:c r="G47" s="51" t="str">
        <x:v>UI</x:v>
      </x:c>
      <x:c r="H47" s="51" t="str">
        <x:v>Нет</x:v>
      </x:c>
      <x:c r="I47" s="51" t="str">
        <x:v>Не выполнено</x:v>
      </x:c>
      <x:c r="J47" s="52" t="str"/>
    </x:row>
    <x:row r="48" ht="42" customHeight="1">
      <x:c r="A48" s="50" t="str">
        <x:v>CL-045</x:v>
      </x:c>
      <x:c r="B48" s="51" t="str">
        <x:v>Основной кликер</x:v>
      </x:c>
      <x:c r="C48" s="51" t="str">
        <x:v>Плавающие числа не блокируют дальнейшие клики</x:v>
      </x:c>
      <x:c r="D48" s="51" t="str">
        <x:v>Приложение открыто через локальный HTTP-сервер; localStorage очищен, если не указано иное.</x:v>
      </x:c>
      <x:c r="E48" s="51" t="str">
        <x:v>Объект продолжает реагировать.</x:v>
      </x:c>
      <x:c r="F48" s="51" t="str">
        <x:v>P2</x:v>
      </x:c>
      <x:c r="G48" s="51" t="str">
        <x:v>UX</x:v>
      </x:c>
      <x:c r="H48" s="51" t="str">
        <x:v>Нет</x:v>
      </x:c>
      <x:c r="I48" s="51" t="str">
        <x:v>Не выполнено</x:v>
      </x:c>
      <x:c r="J48" s="52" t="str"/>
    </x:row>
    <x:row r="49" ht="42" customHeight="1">
      <x:c r="A49" s="50" t="str">
        <x:v>CL-046</x:v>
      </x:c>
      <x:c r="B49" s="51" t="str">
        <x:v>Основной кликер</x:v>
      </x:c>
      <x:c r="C49" s="51" t="str">
        <x:v>Счёт всегда целый и неотрицательный</x:v>
      </x:c>
      <x:c r="D49" s="51" t="str">
        <x:v>Приложение открыто через локальный HTTP-сервер; localStorage очищен, если не указано иное.</x:v>
      </x:c>
      <x:c r="E49" s="51" t="str">
        <x:v>Нет NaN, Infinity и отрицательных значений.</x:v>
      </x:c>
      <x:c r="F49" s="51" t="str">
        <x:v>P0</x:v>
      </x:c>
      <x:c r="G49" s="51" t="str">
        <x:v>Границы</x:v>
      </x:c>
      <x:c r="H49" s="51" t="str">
        <x:v>Нет</x:v>
      </x:c>
      <x:c r="I49" s="51" t="str">
        <x:v>Не выполнено</x:v>
      </x:c>
      <x:c r="J49" s="52" t="str"/>
    </x:row>
    <x:row r="50" ht="42" customHeight="1">
      <x:c r="A50" s="50" t="str">
        <x:v>CL-047</x:v>
      </x:c>
      <x:c r="B50" s="51" t="str">
        <x:v>Основной кликер</x:v>
      </x:c>
      <x:c r="C50" s="51" t="str">
        <x:v>Эффективная сила клика отображается в верхней панели</x:v>
      </x:c>
      <x:c r="D50" s="51" t="str">
        <x:v>Приложение открыто через локальный HTTP-сервер; localStorage очищен, если не указано иное.</x:v>
      </x:c>
      <x:c r="E50" s="51" t="str">
        <x:v>Значение учитывает постоянные и временные усиления.</x:v>
      </x:c>
      <x:c r="F50" s="51" t="str">
        <x:v>P1</x:v>
      </x:c>
      <x:c r="G50" s="51" t="str">
        <x:v>Функциональное</x:v>
      </x:c>
      <x:c r="H50" s="51" t="str">
        <x:v>Нет</x:v>
      </x:c>
      <x:c r="I50" s="51" t="str">
        <x:v>Не выполнено</x:v>
      </x:c>
      <x:c r="J50" s="52" t="str"/>
    </x:row>
    <x:row r="51" ht="42" customHeight="1">
      <x:c r="A51" s="50" t="str">
        <x:v>CL-048</x:v>
      </x:c>
      <x:c r="B51" s="51" t="str">
        <x:v>Основной кликер</x:v>
      </x:c>
      <x:c r="C51" s="51" t="str">
        <x:v>Критический клик применяет заявленный множитель</x:v>
      </x:c>
      <x:c r="D51" s="51" t="str">
        <x:v>Приложение открыто через локальный HTTP-сервер; localStorage очищен, если не указано иное.</x:v>
      </x:c>
      <x:c r="E51" s="51" t="str">
        <x:v>При срабатывании начисление соответствует x10/текущему эффекту.</x:v>
      </x:c>
      <x:c r="F51" s="51" t="str">
        <x:v>P1</x:v>
      </x:c>
      <x:c r="G51" s="51" t="str">
        <x:v>Вероятностное</x:v>
      </x:c>
      <x:c r="H51" s="51" t="str">
        <x:v>Нет</x:v>
      </x:c>
      <x:c r="I51" s="51" t="str">
        <x:v>Не выполнено</x:v>
      </x:c>
      <x:c r="J51" s="52" t="str"/>
    </x:row>
    <x:row r="52" ht="42" customHeight="1">
      <x:c r="A52" s="50" t="str">
        <x:v>CL-049</x:v>
      </x:c>
      <x:c r="B52" s="51" t="str">
        <x:v>Основной кликер</x:v>
      </x:c>
      <x:c r="C52" s="51" t="str">
        <x:v>Super Click применяется только к следующему клику</x:v>
      </x:c>
      <x:c r="D52" s="51" t="str">
        <x:v>Приложение открыто через локальный HTTP-сервер; localStorage очищен, если не указано иное.</x:v>
      </x:c>
      <x:c r="E52" s="51" t="str">
        <x:v>Один клик получает x25, затем pending-состояние очищается.</x:v>
      </x:c>
      <x:c r="F52" s="51" t="str">
        <x:v>P1</x:v>
      </x:c>
      <x:c r="G52" s="51" t="str">
        <x:v>Переходы состояний</x:v>
      </x:c>
      <x:c r="H52" s="51" t="str">
        <x:v>Нет</x:v>
      </x:c>
      <x:c r="I52" s="51" t="str">
        <x:v>Не выполнено</x:v>
      </x:c>
      <x:c r="J52" s="52" t="str"/>
    </x:row>
    <x:row r="53" ht="42" customHeight="1">
      <x:c r="A53" s="50" t="str">
        <x:v>CL-050</x:v>
      </x:c>
      <x:c r="B53" s="51" t="str">
        <x:v>Основной кликер</x:v>
      </x:c>
      <x:c r="C53" s="51" t="str">
        <x:v>Игра не начисляет клики после возврата в меню</x:v>
      </x:c>
      <x:c r="D53" s="51" t="str">
        <x:v>Приложение открыто через локальный HTTP-сервер; localStorage очищен, если не указано иное.</x:v>
      </x:c>
      <x:c r="E53" s="51" t="str">
        <x:v>Клик по скрытому объекту невозможен для пользователя.</x:v>
      </x:c>
      <x:c r="F53" s="51" t="str">
        <x:v>P2</x:v>
      </x:c>
      <x:c r="G53" s="51" t="str">
        <x:v>Негативное</x:v>
      </x:c>
      <x:c r="H53" s="51" t="str">
        <x:v>Нет</x:v>
      </x:c>
      <x:c r="I53" s="51" t="str">
        <x:v>Не выполнено</x:v>
      </x:c>
      <x:c r="J53" s="52" t="str"/>
    </x:row>
    <x:row r="54" ht="42" customHeight="1">
      <x:c r="A54" s="50" t="str">
        <x:v>CL-051</x:v>
      </x:c>
      <x:c r="B54" s="51" t="str">
        <x:v>Основной кликер</x:v>
      </x:c>
      <x:c r="C54" s="51" t="str">
        <x:v>Игровой объект доступен с клавиатуры</x:v>
      </x:c>
      <x:c r="D54" s="51" t="str">
        <x:v>Приложение открыто через локальный HTTP-сервер; localStorage очищен, если не указано иное.</x:v>
      </x:c>
      <x:c r="E54" s="51" t="str">
        <x:v>Элемент имеет роль/имя/tabindex и активируется Enter/Space.</x:v>
      </x:c>
      <x:c r="F54" s="51" t="str">
        <x:v>P1</x:v>
      </x:c>
      <x:c r="G54" s="51" t="str">
        <x:v>Accessibility</x:v>
      </x:c>
      <x:c r="H54" s="51" t="str">
        <x:v>Нет</x:v>
      </x:c>
      <x:c r="I54" s="51" t="str">
        <x:v>Не выполнено</x:v>
      </x:c>
      <x:c r="J54" s="52" t="str"/>
    </x:row>
    <x:row r="55" ht="42" customHeight="1">
      <x:c r="A55" s="50" t="str">
        <x:v>CL-052</x:v>
      </x:c>
      <x:c r="B55" s="51" t="str">
        <x:v>Основной кликер</x:v>
      </x:c>
      <x:c r="C55" s="51" t="str">
        <x:v>Игровой объект имеет видимый focus</x:v>
      </x:c>
      <x:c r="D55" s="51" t="str">
        <x:v>Приложение открыто через локальный HTTP-сервер; localStorage очищен, если не указано иное.</x:v>
      </x:c>
      <x:c r="E55" s="51" t="str">
        <x:v>Клавиатурный пользователь понимает, где находится фокус.</x:v>
      </x:c>
      <x:c r="F55" s="51" t="str">
        <x:v>P2</x:v>
      </x:c>
      <x:c r="G55" s="51" t="str">
        <x:v>Accessibility</x:v>
      </x:c>
      <x:c r="H55" s="51" t="str">
        <x:v>Нет</x:v>
      </x:c>
      <x:c r="I55" s="51" t="str">
        <x:v>Не выполнено</x:v>
      </x:c>
      <x:c r="J55" s="52" t="str"/>
    </x:row>
    <x:row r="56" ht="42" customHeight="1">
      <x:c r="A56" s="50" t="str">
        <x:v>CL-053</x:v>
      </x:c>
      <x:c r="B56" s="51" t="str">
        <x:v>Уровни</x:v>
      </x:c>
      <x:c r="C56" s="51" t="str">
        <x:v>До 150 кликов уровень остаётся 0</x:v>
      </x:c>
      <x:c r="D56" s="51" t="str">
        <x:v>Приложение открыто через локальный HTTP-сервер; localStorage очищен, если не указано иное.</x:v>
      </x:c>
      <x:c r="E56" s="51" t="str">
        <x:v>LVL 0 и корректный процент прогресса.</x:v>
      </x:c>
      <x:c r="F56" s="51" t="str">
        <x:v>P1</x:v>
      </x:c>
      <x:c r="G56" s="51" t="str">
        <x:v>Границы</x:v>
      </x:c>
      <x:c r="H56" s="51" t="str">
        <x:v>Нет</x:v>
      </x:c>
      <x:c r="I56" s="51" t="str">
        <x:v>Не выполнено</x:v>
      </x:c>
      <x:c r="J56" s="52" t="str"/>
    </x:row>
    <x:row r="57" ht="42" customHeight="1">
      <x:c r="A57" s="50" t="str">
        <x:v>CL-054</x:v>
      </x:c>
      <x:c r="B57" s="51" t="str">
        <x:v>Уровни</x:v>
      </x:c>
      <x:c r="C57" s="51" t="str">
        <x:v>На 150-м клике уровень повышается до 1</x:v>
      </x:c>
      <x:c r="D57" s="51" t="str">
        <x:v>Приложение открыто через локальный HTTP-сервер; localStorage очищен, если не указано иное.</x:v>
      </x:c>
      <x:c r="E57" s="51" t="str">
        <x:v>LVL 1, прогресс текущего уровня сброшен.</x:v>
      </x:c>
      <x:c r="F57" s="51" t="str">
        <x:v>P0</x:v>
      </x:c>
      <x:c r="G57" s="51" t="str">
        <x:v>Граница</x:v>
      </x:c>
      <x:c r="H57" s="51" t="str">
        <x:v>Да</x:v>
      </x:c>
      <x:c r="I57" s="51" t="str">
        <x:v>Не выполнено</x:v>
      </x:c>
      <x:c r="J57" s="52" t="str"/>
    </x:row>
    <x:row r="58" ht="42" customHeight="1">
      <x:c r="A58" s="50" t="str">
        <x:v>CL-055</x:v>
      </x:c>
      <x:c r="B58" s="51" t="str">
        <x:v>Уровни</x:v>
      </x:c>
      <x:c r="C58" s="51" t="str">
        <x:v>aria-valuenow соответствует числу кликов текущего уровня</x:v>
      </x:c>
      <x:c r="D58" s="51" t="str">
        <x:v>Приложение открыто через локальный HTTP-сервер; localStorage очищен, если не указано иное.</x:v>
      </x:c>
      <x:c r="E58" s="51" t="str">
        <x:v>Атрибут синхронизирован с прогрессом.</x:v>
      </x:c>
      <x:c r="F58" s="51" t="str">
        <x:v>P2</x:v>
      </x:c>
      <x:c r="G58" s="51" t="str">
        <x:v>Accessibility</x:v>
      </x:c>
      <x:c r="H58" s="51" t="str">
        <x:v>Да</x:v>
      </x:c>
      <x:c r="I58" s="51" t="str">
        <x:v>Не выполнено</x:v>
      </x:c>
      <x:c r="J58" s="52" t="str"/>
    </x:row>
    <x:row r="59" ht="42" customHeight="1">
      <x:c r="A59" s="50" t="str">
        <x:v>CL-056</x:v>
      </x:c>
      <x:c r="B59" s="51" t="str">
        <x:v>Уровни</x:v>
      </x:c>
      <x:c r="C59" s="51" t="str">
        <x:v>aria-valuemax соответствует требованию уровня</x:v>
      </x:c>
      <x:c r="D59" s="51" t="str">
        <x:v>Приложение открыто через локальный HTTP-сервер; localStorage очищен, если не указано иное.</x:v>
      </x:c>
      <x:c r="E59" s="51" t="str">
        <x:v>Для LVL 0 значение 150.</x:v>
      </x:c>
      <x:c r="F59" s="51" t="str">
        <x:v>P2</x:v>
      </x:c>
      <x:c r="G59" s="51" t="str">
        <x:v>Accessibility</x:v>
      </x:c>
      <x:c r="H59" s="51" t="str">
        <x:v>Да</x:v>
      </x:c>
      <x:c r="I59" s="51" t="str">
        <x:v>Не выполнено</x:v>
      </x:c>
      <x:c r="J59" s="52" t="str"/>
    </x:row>
    <x:row r="60" ht="42" customHeight="1">
      <x:c r="A60" s="50" t="str">
        <x:v>CL-057</x:v>
      </x:c>
      <x:c r="B60" s="51" t="str">
        <x:v>Уровни</x:v>
      </x:c>
      <x:c r="C60" s="51" t="str">
        <x:v>Ширина level-fill соответствует проценту прогресса</x:v>
      </x:c>
      <x:c r="D60" s="51" t="str">
        <x:v>Приложение открыто через локальный HTTP-сервер; localStorage очищен, если не указано иное.</x:v>
      </x:c>
      <x:c r="E60" s="51" t="str">
        <x:v>0–100%, без переполнения.</x:v>
      </x:c>
      <x:c r="F60" s="51" t="str">
        <x:v>P2</x:v>
      </x:c>
      <x:c r="G60" s="51" t="str">
        <x:v>UI</x:v>
      </x:c>
      <x:c r="H60" s="51" t="str">
        <x:v>Нет</x:v>
      </x:c>
      <x:c r="I60" s="51" t="str">
        <x:v>Не выполнено</x:v>
      </x:c>
      <x:c r="J60" s="52" t="str"/>
    </x:row>
    <x:row r="61" ht="42" customHeight="1">
      <x:c r="A61" s="50" t="str">
        <x:v>CL-058</x:v>
      </x:c>
      <x:c r="B61" s="51" t="str">
        <x:v>Уровни</x:v>
      </x:c>
      <x:c r="C61" s="51" t="str">
        <x:v>Следующий порог растёт по множителю 2.1</x:v>
      </x:c>
      <x:c r="D61" s="51" t="str">
        <x:v>Приложение открыто через локальный HTTP-сервер; localStorage очищен, если не указано иное.</x:v>
      </x:c>
      <x:c r="E61" s="51" t="str">
        <x:v>Порог рассчитывается по формуле и округляется.</x:v>
      </x:c>
      <x:c r="F61" s="51" t="str">
        <x:v>P2</x:v>
      </x:c>
      <x:c r="G61" s="51" t="str">
        <x:v>Расчёты</x:v>
      </x:c>
      <x:c r="H61" s="51" t="str">
        <x:v>Нет</x:v>
      </x:c>
      <x:c r="I61" s="51" t="str">
        <x:v>Не выполнено</x:v>
      </x:c>
      <x:c r="J61" s="52" t="str"/>
    </x:row>
    <x:row r="62" ht="42" customHeight="1">
      <x:c r="A62" s="50" t="str">
        <x:v>CL-059</x:v>
      </x:c>
      <x:c r="B62" s="51" t="str">
        <x:v>Уровни</x:v>
      </x:c>
      <x:c r="C62" s="51" t="str">
        <x:v>Анимация level-up запускается один раз</x:v>
      </x:c>
      <x:c r="D62" s="51" t="str">
        <x:v>Приложение открыто через локальный HTTP-сервер; localStorage очищен, если не указано иное.</x:v>
      </x:c>
      <x:c r="E62" s="51" t="str">
        <x:v>Нет бесконечного мерцания или зависшей CSS-класса.</x:v>
      </x:c>
      <x:c r="F62" s="51" t="str">
        <x:v>P3</x:v>
      </x:c>
      <x:c r="G62" s="51" t="str">
        <x:v>UI</x:v>
      </x:c>
      <x:c r="H62" s="51" t="str">
        <x:v>Нет</x:v>
      </x:c>
      <x:c r="I62" s="51" t="str">
        <x:v>Не выполнено</x:v>
      </x:c>
      <x:c r="J62" s="52" t="str"/>
    </x:row>
    <x:row r="63" ht="42" customHeight="1">
      <x:c r="A63" s="50" t="str">
        <x:v>CL-060</x:v>
      </x:c>
      <x:c r="B63" s="51" t="str">
        <x:v>Уровни</x:v>
      </x:c>
      <x:c r="C63" s="51" t="str">
        <x:v>Уровень сохраняется после перезагрузки</x:v>
      </x:c>
      <x:c r="D63" s="51" t="str">
        <x:v>Приложение открыто через локальный HTTP-сервер; localStorage очищен, если не указано иное.</x:v>
      </x:c>
      <x:c r="E63" s="51" t="str">
        <x:v>level и levelClicks восстанавливаются.</x:v>
      </x:c>
      <x:c r="F63" s="51" t="str">
        <x:v>P1</x:v>
      </x:c>
      <x:c r="G63" s="51" t="str">
        <x:v>Сохранение</x:v>
      </x:c>
      <x:c r="H63" s="51" t="str">
        <x:v>Нет</x:v>
      </x:c>
      <x:c r="I63" s="51" t="str">
        <x:v>Не выполнено</x:v>
      </x:c>
      <x:c r="J63" s="52" t="str"/>
    </x:row>
    <x:row r="64" ht="42" customHeight="1">
      <x:c r="A64" s="50" t="str">
        <x:v>CL-061</x:v>
      </x:c>
      <x:c r="B64" s="51" t="str">
        <x:v>Уровни</x:v>
      </x:c>
      <x:c r="C64" s="51" t="str">
        <x:v>Некорректные сохранённые значения нормализуются</x:v>
      </x:c>
      <x:c r="D64" s="51" t="str">
        <x:v>Приложение открыто через локальный HTTP-сервер; localStorage очищен, если не указано иное.</x:v>
      </x:c>
      <x:c r="E64" s="51" t="str">
        <x:v>Отрицательные/NaN не ломают интерфейс.</x:v>
      </x:c>
      <x:c r="F64" s="51" t="str">
        <x:v>P1</x:v>
      </x:c>
      <x:c r="G64" s="51" t="str">
        <x:v>Негативное</x:v>
      </x:c>
      <x:c r="H64" s="51" t="str">
        <x:v>Нет</x:v>
      </x:c>
      <x:c r="I64" s="51" t="str">
        <x:v>Не выполнено</x:v>
      </x:c>
      <x:c r="J64" s="52" t="str"/>
    </x:row>
    <x:row r="65" ht="42" customHeight="1">
      <x:c r="A65" s="50" t="str">
        <x:v>CL-062</x:v>
      </x:c>
      <x:c r="B65" s="51" t="str">
        <x:v>Улучшение клика</x:v>
      </x:c>
      <x:c r="C65" s="51" t="str">
        <x:v>Стартовая цена улучшения равна 85</x:v>
      </x:c>
      <x:c r="D65" s="51" t="str">
        <x:v>Приложение открыто через локальный HTTP-сервер; localStorage очищен, если не указано иное.</x:v>
      </x:c>
      <x:c r="E65" s="51" t="str">
        <x:v>Кнопка показывает 85 💰.</x:v>
      </x:c>
      <x:c r="F65" s="51" t="str">
        <x:v>P1</x:v>
      </x:c>
      <x:c r="G65" s="51" t="str">
        <x:v>Функциональное</x:v>
      </x:c>
      <x:c r="H65" s="51" t="str">
        <x:v>Да</x:v>
      </x:c>
      <x:c r="I65" s="51" t="str">
        <x:v>Не выполнено</x:v>
      </x:c>
      <x:c r="J65" s="52" t="str"/>
    </x:row>
    <x:row r="66" ht="42" customHeight="1">
      <x:c r="A66" s="50" t="str">
        <x:v>CL-063</x:v>
      </x:c>
      <x:c r="B66" s="51" t="str">
        <x:v>Улучшение клика</x:v>
      </x:c>
      <x:c r="C66" s="51" t="str">
        <x:v>При балансе 84 кнопка disabled</x:v>
      </x:c>
      <x:c r="D66" s="51" t="str">
        <x:v>Приложение открыто через локальный HTTP-сервер; localStorage очищен, если не указано иное.</x:v>
      </x:c>
      <x:c r="E66" s="51" t="str">
        <x:v>Покупка невозможна.</x:v>
      </x:c>
      <x:c r="F66" s="51" t="str">
        <x:v>P1</x:v>
      </x:c>
      <x:c r="G66" s="51" t="str">
        <x:v>Граница</x:v>
      </x:c>
      <x:c r="H66" s="51" t="str">
        <x:v>Да</x:v>
      </x:c>
      <x:c r="I66" s="51" t="str">
        <x:v>Не выполнено</x:v>
      </x:c>
      <x:c r="J66" s="52" t="str"/>
    </x:row>
    <x:row r="67" ht="42" customHeight="1">
      <x:c r="A67" s="50" t="str">
        <x:v>CL-064</x:v>
      </x:c>
      <x:c r="B67" s="51" t="str">
        <x:v>Улучшение клика</x:v>
      </x:c>
      <x:c r="C67" s="51" t="str">
        <x:v>При балансе 85 кнопка enabled</x:v>
      </x:c>
      <x:c r="D67" s="51" t="str">
        <x:v>Приложение открыто через локальный HTTP-сервер; localStorage очищен, если не указано иное.</x:v>
      </x:c>
      <x:c r="E67" s="51" t="str">
        <x:v>Покупка доступна.</x:v>
      </x:c>
      <x:c r="F67" s="51" t="str">
        <x:v>P1</x:v>
      </x:c>
      <x:c r="G67" s="51" t="str">
        <x:v>Граница</x:v>
      </x:c>
      <x:c r="H67" s="51" t="str">
        <x:v>Да</x:v>
      </x:c>
      <x:c r="I67" s="51" t="str">
        <x:v>Не выполнено</x:v>
      </x:c>
      <x:c r="J67" s="52" t="str"/>
    </x:row>
    <x:row r="68" ht="42" customHeight="1">
      <x:c r="A68" s="50" t="str">
        <x:v>CL-065</x:v>
      </x:c>
      <x:c r="B68" s="51" t="str">
        <x:v>Улучшение клика</x:v>
      </x:c>
      <x:c r="C68" s="51" t="str">
        <x:v>Покупка списывает ровно текущую цену</x:v>
      </x:c>
      <x:c r="D68" s="51" t="str">
        <x:v>Приложение открыто через локальный HTTP-сервер; localStorage очищен, если не указано иное.</x:v>
      </x:c>
      <x:c r="E68" s="51" t="str">
        <x:v>Баланс уменьшается на 85 при первой покупке.</x:v>
      </x:c>
      <x:c r="F68" s="51" t="str">
        <x:v>P0</x:v>
      </x:c>
      <x:c r="G68" s="51" t="str">
        <x:v>Функциональное</x:v>
      </x:c>
      <x:c r="H68" s="51" t="str">
        <x:v>Да</x:v>
      </x:c>
      <x:c r="I68" s="51" t="str">
        <x:v>Не выполнено</x:v>
      </x:c>
      <x:c r="J68" s="52" t="str"/>
    </x:row>
    <x:row r="69" ht="42" customHeight="1">
      <x:c r="A69" s="50" t="str">
        <x:v>CL-066</x:v>
      </x:c>
      <x:c r="B69" s="51" t="str">
        <x:v>Улучшение клика</x:v>
      </x:c>
      <x:c r="C69" s="51" t="str">
        <x:v>Покупка увеличивает базовую силу клика на 1</x:v>
      </x:c>
      <x:c r="D69" s="51" t="str">
        <x:v>Приложение открыто через локальный HTTP-сервер; localStorage очищен, если не указано иное.</x:v>
      </x:c>
      <x:c r="E69" s="51" t="str">
        <x:v>clickPower меняется 1 → 2.</x:v>
      </x:c>
      <x:c r="F69" s="51" t="str">
        <x:v>P0</x:v>
      </x:c>
      <x:c r="G69" s="51" t="str">
        <x:v>Функциональное</x:v>
      </x:c>
      <x:c r="H69" s="51" t="str">
        <x:v>Да</x:v>
      </x:c>
      <x:c r="I69" s="51" t="str">
        <x:v>Не выполнено</x:v>
      </x:c>
      <x:c r="J69" s="52" t="str"/>
    </x:row>
    <x:row r="70" ht="42" customHeight="1">
      <x:c r="A70" s="50" t="str">
        <x:v>CL-067</x:v>
      </x:c>
      <x:c r="B70" s="51" t="str">
        <x:v>Улучшение клика</x:v>
      </x:c>
      <x:c r="C70" s="51" t="str">
        <x:v>Цена после покупки увеличивается примерно на 15%</x:v>
      </x:c>
      <x:c r="D70" s="51" t="str">
        <x:v>Приложение открыто через локальный HTTP-сервер; localStorage очищен, если не указано иное.</x:v>
      </x:c>
      <x:c r="E70" s="51" t="str">
        <x:v>Следующая цена больше предыдущей минимум на 1.</x:v>
      </x:c>
      <x:c r="F70" s="51" t="str">
        <x:v>P1</x:v>
      </x:c>
      <x:c r="G70" s="51" t="str">
        <x:v>Расчёты</x:v>
      </x:c>
      <x:c r="H70" s="51" t="str">
        <x:v>Да</x:v>
      </x:c>
      <x:c r="I70" s="51" t="str">
        <x:v>Не выполнено</x:v>
      </x:c>
      <x:c r="J70" s="52" t="str"/>
    </x:row>
    <x:row r="71" ht="42" customHeight="1">
      <x:c r="A71" s="50" t="str">
        <x:v>CL-068</x:v>
      </x:c>
      <x:c r="B71" s="51" t="str">
        <x:v>Улучшение клика</x:v>
      </x:c>
      <x:c r="C71" s="51" t="str">
        <x:v>Счётчик покупок улучшения увеличивается</x:v>
      </x:c>
      <x:c r="D71" s="51" t="str">
        <x:v>Приложение открыто через локальный HTTP-сервер; localStorage очищен, если не указано иное.</x:v>
      </x:c>
      <x:c r="E71" s="51" t="str">
        <x:v>Статистика и достижения получают +1.</x:v>
      </x:c>
      <x:c r="F71" s="51" t="str">
        <x:v>P1</x:v>
      </x:c>
      <x:c r="G71" s="51" t="str">
        <x:v>Интеграционное</x:v>
      </x:c>
      <x:c r="H71" s="51" t="str">
        <x:v>Да</x:v>
      </x:c>
      <x:c r="I71" s="51" t="str">
        <x:v>Не выполнено</x:v>
      </x:c>
      <x:c r="J71" s="52" t="str"/>
    </x:row>
    <x:row r="72" ht="42" customHeight="1">
      <x:c r="A72" s="50" t="str">
        <x:v>CL-069</x:v>
      </x:c>
      <x:c r="B72" s="51" t="str">
        <x:v>Улучшение клика</x:v>
      </x:c>
      <x:c r="C72" s="51" t="str">
        <x:v>Недостаточный баланс не изменяет состояние</x:v>
      </x:c>
      <x:c r="D72" s="51" t="str">
        <x:v>Приложение открыто через локальный HTTP-сервер; localStorage очищен, если не указано иное.</x:v>
      </x:c>
      <x:c r="E72" s="51" t="str">
        <x:v>Монеты, сила и цена остаются прежними.</x:v>
      </x:c>
      <x:c r="F72" s="51" t="str">
        <x:v>P0</x:v>
      </x:c>
      <x:c r="G72" s="51" t="str">
        <x:v>Негативное</x:v>
      </x:c>
      <x:c r="H72" s="51" t="str">
        <x:v>Да</x:v>
      </x:c>
      <x:c r="I72" s="51" t="str">
        <x:v>Не выполнено</x:v>
      </x:c>
      <x:c r="J72" s="52" t="str"/>
    </x:row>
    <x:row r="73" ht="42" customHeight="1">
      <x:c r="A73" s="50" t="str">
        <x:v>CL-070</x:v>
      </x:c>
      <x:c r="B73" s="51" t="str">
        <x:v>Улучшение клика</x:v>
      </x:c>
      <x:c r="C73" s="51" t="str">
        <x:v>Discount Protocol уменьшает следующую цену на 50%</x:v>
      </x:c>
      <x:c r="D73" s="51" t="str">
        <x:v>Приложение открыто через локальный HTTP-сервер; localStorage очищен, если не указано иное.</x:v>
      </x:c>
      <x:c r="E73" s="51" t="str">
        <x:v>Показанная и списанная цена совпадают.</x:v>
      </x:c>
      <x:c r="F73" s="51" t="str">
        <x:v>P1</x:v>
      </x:c>
      <x:c r="G73" s="51" t="str">
        <x:v>Интеграционное</x:v>
      </x:c>
      <x:c r="H73" s="51" t="str">
        <x:v>Нет</x:v>
      </x:c>
      <x:c r="I73" s="51" t="str">
        <x:v>Не выполнено</x:v>
      </x:c>
      <x:c r="J73" s="52" t="str"/>
    </x:row>
    <x:row r="74" ht="42" customHeight="1">
      <x:c r="A74" s="50" t="str">
        <x:v>CL-071</x:v>
      </x:c>
      <x:c r="B74" s="51" t="str">
        <x:v>Улучшение клика</x:v>
      </x:c>
      <x:c r="C74" s="51" t="str">
        <x:v>Скидка расходуется после одной покупки</x:v>
      </x:c>
      <x:c r="D74" s="51" t="str">
        <x:v>Приложение открыто через локальный HTTP-сервер; localStorage очищен, если не указано иное.</x:v>
      </x:c>
      <x:c r="E74" s="51" t="str">
        <x:v>Следующая покупка проходит по полной цене.</x:v>
      </x:c>
      <x:c r="F74" s="51" t="str">
        <x:v>P1</x:v>
      </x:c>
      <x:c r="G74" s="51" t="str">
        <x:v>Переходы состояний</x:v>
      </x:c>
      <x:c r="H74" s="51" t="str">
        <x:v>Нет</x:v>
      </x:c>
      <x:c r="I74" s="51" t="str">
        <x:v>Не выполнено</x:v>
      </x:c>
      <x:c r="J74" s="52" t="str"/>
    </x:row>
    <x:row r="75" ht="42" customHeight="1">
      <x:c r="A75" s="50" t="str">
        <x:v>CL-072</x:v>
      </x:c>
      <x:c r="B75" s="51" t="str">
        <x:v>Улучшение клика</x:v>
      </x:c>
      <x:c r="C75" s="51" t="str">
        <x:v>Цена и сила сохраняются после reload</x:v>
      </x:c>
      <x:c r="D75" s="51" t="str">
        <x:v>Приложение открыто через локальный HTTP-сервер; localStorage очищен, если не указано иное.</x:v>
      </x:c>
      <x:c r="E75" s="51" t="str">
        <x:v>Состояние восстанавливается из localStorage.</x:v>
      </x:c>
      <x:c r="F75" s="51" t="str">
        <x:v>P1</x:v>
      </x:c>
      <x:c r="G75" s="51" t="str">
        <x:v>Сохранение</x:v>
      </x:c>
      <x:c r="H75" s="51" t="str">
        <x:v>Нет</x:v>
      </x:c>
      <x:c r="I75" s="51" t="str">
        <x:v>Не выполнено</x:v>
      </x:c>
      <x:c r="J75" s="52" t="str"/>
    </x:row>
    <x:row r="76" ht="42" customHeight="1">
      <x:c r="A76" s="50" t="str">
        <x:v>CL-073</x:v>
      </x:c>
      <x:c r="B76" s="51" t="str">
        <x:v>Роботы и автодоход</x:v>
      </x:c>
      <x:c r="C76" s="51" t="str">
        <x:v>Стартовая цена робота равна 200</x:v>
      </x:c>
      <x:c r="D76" s="51" t="str">
        <x:v>Приложение открыто через локальный HTTP-сервер; localStorage очищен, если не указано иное.</x:v>
      </x:c>
      <x:c r="E76" s="51" t="str">
        <x:v>Кнопка показывает 200 💰.</x:v>
      </x:c>
      <x:c r="F76" s="51" t="str">
        <x:v>P1</x:v>
      </x:c>
      <x:c r="G76" s="51" t="str">
        <x:v>Функциональное</x:v>
      </x:c>
      <x:c r="H76" s="51" t="str">
        <x:v>Да</x:v>
      </x:c>
      <x:c r="I76" s="51" t="str">
        <x:v>Не выполнено</x:v>
      </x:c>
      <x:c r="J76" s="52" t="str"/>
    </x:row>
    <x:row r="77" ht="42" customHeight="1">
      <x:c r="A77" s="50" t="str">
        <x:v>CL-074</x:v>
      </x:c>
      <x:c r="B77" s="51" t="str">
        <x:v>Роботы и автодоход</x:v>
      </x:c>
      <x:c r="C77" s="51" t="str">
        <x:v>При балансе 199 кнопка disabled</x:v>
      </x:c>
      <x:c r="D77" s="51" t="str">
        <x:v>Приложение открыто через локальный HTTP-сервер; localStorage очищен, если не указано иное.</x:v>
      </x:c>
      <x:c r="E77" s="51" t="str">
        <x:v>Покупка невозможна.</x:v>
      </x:c>
      <x:c r="F77" s="51" t="str">
        <x:v>P1</x:v>
      </x:c>
      <x:c r="G77" s="51" t="str">
        <x:v>Граница</x:v>
      </x:c>
      <x:c r="H77" s="51" t="str">
        <x:v>Да</x:v>
      </x:c>
      <x:c r="I77" s="51" t="str">
        <x:v>Не выполнено</x:v>
      </x:c>
      <x:c r="J77" s="52" t="str"/>
    </x:row>
    <x:row r="78" ht="42" customHeight="1">
      <x:c r="A78" s="50" t="str">
        <x:v>CL-075</x:v>
      </x:c>
      <x:c r="B78" s="51" t="str">
        <x:v>Роботы и автодоход</x:v>
      </x:c>
      <x:c r="C78" s="51" t="str">
        <x:v>При балансе 200 кнопка enabled</x:v>
      </x:c>
      <x:c r="D78" s="51" t="str">
        <x:v>Приложение открыто через локальный HTTP-сервер; localStorage очищен, если не указано иное.</x:v>
      </x:c>
      <x:c r="E78" s="51" t="str">
        <x:v>Покупка доступна.</x:v>
      </x:c>
      <x:c r="F78" s="51" t="str">
        <x:v>P1</x:v>
      </x:c>
      <x:c r="G78" s="51" t="str">
        <x:v>Граница</x:v>
      </x:c>
      <x:c r="H78" s="51" t="str">
        <x:v>Да</x:v>
      </x:c>
      <x:c r="I78" s="51" t="str">
        <x:v>Не выполнено</x:v>
      </x:c>
      <x:c r="J78" s="52" t="str"/>
    </x:row>
    <x:row r="79" ht="42" customHeight="1">
      <x:c r="A79" s="50" t="str">
        <x:v>CL-076</x:v>
      </x:c>
      <x:c r="B79" s="51" t="str">
        <x:v>Роботы и автодоход</x:v>
      </x:c>
      <x:c r="C79" s="51" t="str">
        <x:v>Покупка первого робота списывает 200</x:v>
      </x:c>
      <x:c r="D79" s="51" t="str">
        <x:v>Приложение открыто через локальный HTTP-сервер; localStorage очищен, если не указано иное.</x:v>
      </x:c>
      <x:c r="E79" s="51" t="str">
        <x:v>Баланс уменьшается ровно на цену.</x:v>
      </x:c>
      <x:c r="F79" s="51" t="str">
        <x:v>P0</x:v>
      </x:c>
      <x:c r="G79" s="51" t="str">
        <x:v>Функциональное</x:v>
      </x:c>
      <x:c r="H79" s="51" t="str">
        <x:v>Да</x:v>
      </x:c>
      <x:c r="I79" s="51" t="str">
        <x:v>Не выполнено</x:v>
      </x:c>
      <x:c r="J79" s="52" t="str"/>
    </x:row>
    <x:row r="80" ht="42" customHeight="1">
      <x:c r="A80" s="50" t="str">
        <x:v>CL-077</x:v>
      </x:c>
      <x:c r="B80" s="51" t="str">
        <x:v>Роботы и автодоход</x:v>
      </x:c>
      <x:c r="C80" s="51" t="str">
        <x:v>Покупка увеличивает количество роботов на 1</x:v>
      </x:c>
      <x:c r="D80" s="51" t="str">
        <x:v>Приложение открыто через локальный HTTP-сервер; localStorage очищен, если не указано иное.</x:v>
      </x:c>
      <x:c r="E80" s="51" t="str">
        <x:v>Подпись показывает 1 куплено.</x:v>
      </x:c>
      <x:c r="F80" s="51" t="str">
        <x:v>P0</x:v>
      </x:c>
      <x:c r="G80" s="51" t="str">
        <x:v>Функциональное</x:v>
      </x:c>
      <x:c r="H80" s="51" t="str">
        <x:v>Да</x:v>
      </x:c>
      <x:c r="I80" s="51" t="str">
        <x:v>Не выполнено</x:v>
      </x:c>
      <x:c r="J80" s="52" t="str"/>
    </x:row>
    <x:row r="81" ht="42" customHeight="1">
      <x:c r="A81" s="50" t="str">
        <x:v>CL-078</x:v>
      </x:c>
      <x:c r="B81" s="51" t="str">
        <x:v>Роботы и автодоход</x:v>
      </x:c>
      <x:c r="C81" s="51" t="str">
        <x:v>Покупка увеличивает базовый доход на 1/сек</x:v>
      </x:c>
      <x:c r="D81" s="51" t="str">
        <x:v>Приложение открыто через локальный HTTP-сервер; localStorage очищен, если не указано иное.</x:v>
      </x:c>
      <x:c r="E81" s="51" t="str">
        <x:v>Через секунду начисляется 1 монета без бустов.</x:v>
      </x:c>
      <x:c r="F81" s="51" t="str">
        <x:v>P0</x:v>
      </x:c>
      <x:c r="G81" s="51" t="str">
        <x:v>Функциональное</x:v>
      </x:c>
      <x:c r="H81" s="51" t="str">
        <x:v>Да</x:v>
      </x:c>
      <x:c r="I81" s="51" t="str">
        <x:v>Не выполнено</x:v>
      </x:c>
      <x:c r="J81" s="52" t="str"/>
    </x:row>
    <x:row r="82" ht="42" customHeight="1">
      <x:c r="A82" s="50" t="str">
        <x:v>CL-079</x:v>
      </x:c>
      <x:c r="B82" s="51" t="str">
        <x:v>Роботы и автодоход</x:v>
      </x:c>
      <x:c r="C82" s="51" t="str">
        <x:v>Цена следующего робота удваивается</x:v>
      </x:c>
      <x:c r="D82" s="51" t="str">
        <x:v>Приложение открыто через локальный HTTP-сервер; localStorage очищен, если не указано иное.</x:v>
      </x:c>
      <x:c r="E82" s="51" t="str">
        <x:v>После первой покупки цена равна 400.</x:v>
      </x:c>
      <x:c r="F82" s="51" t="str">
        <x:v>P1</x:v>
      </x:c>
      <x:c r="G82" s="51" t="str">
        <x:v>Расчёты</x:v>
      </x:c>
      <x:c r="H82" s="51" t="str">
        <x:v>Да</x:v>
      </x:c>
      <x:c r="I82" s="51" t="str">
        <x:v>Не выполнено</x:v>
      </x:c>
      <x:c r="J82" s="52" t="str"/>
    </x:row>
    <x:row r="83" ht="42" customHeight="1">
      <x:c r="A83" s="50" t="str">
        <x:v>CL-080</x:v>
      </x:c>
      <x:c r="B83" s="51" t="str">
        <x:v>Роботы и автодоход</x:v>
      </x:c>
      <x:c r="C83" s="51" t="str">
        <x:v>Несколько роботов начисляют сумму раз в секунду</x:v>
      </x:c>
      <x:c r="D83" s="51" t="str">
        <x:v>Приложение открыто через локальный HTTP-сервер; localStorage очищен, если не указано иное.</x:v>
      </x:c>
      <x:c r="E83" s="51" t="str">
        <x:v>Доход соответствует robotIncomePerSecond.</x:v>
      </x:c>
      <x:c r="F83" s="51" t="str">
        <x:v>P1</x:v>
      </x:c>
      <x:c r="G83" s="51" t="str">
        <x:v>Функциональное</x:v>
      </x:c>
      <x:c r="H83" s="51" t="str">
        <x:v>Нет</x:v>
      </x:c>
      <x:c r="I83" s="51" t="str">
        <x:v>Не выполнено</x:v>
      </x:c>
      <x:c r="J83" s="52" t="str"/>
    </x:row>
    <x:row r="84" ht="42" customHeight="1">
      <x:c r="A84" s="50" t="str">
        <x:v>CL-081</x:v>
      </x:c>
      <x:c r="B84" s="51" t="str">
        <x:v>Роботы и автодоход</x:v>
      </x:c>
      <x:c r="C84" s="51" t="str">
        <x:v>При открытом модальном окне автодоход приостанавливается</x:v>
      </x:c>
      <x:c r="D84" s="51" t="str">
        <x:v>Приложение открыто через локальный HTTP-сервер; localStorage очищен, если не указано иное.</x:v>
      </x:c>
      <x:c r="E84" s="51" t="str">
        <x:v>Монеты не растут в паузе.</x:v>
      </x:c>
      <x:c r="F84" s="51" t="str">
        <x:v>P1</x:v>
      </x:c>
      <x:c r="G84" s="51" t="str">
        <x:v>Переходы состояний</x:v>
      </x:c>
      <x:c r="H84" s="51" t="str">
        <x:v>Нет</x:v>
      </x:c>
      <x:c r="I84" s="51" t="str">
        <x:v>Не выполнено</x:v>
      </x:c>
      <x:c r="J84" s="52" t="str"/>
    </x:row>
    <x:row r="85" ht="42" customHeight="1">
      <x:c r="A85" s="50" t="str">
        <x:v>CL-082</x:v>
      </x:c>
      <x:c r="B85" s="51" t="str">
        <x:v>Роботы и автодоход</x:v>
      </x:c>
      <x:c r="C85" s="51" t="str">
        <x:v>После закрытия модалки автодоход возобновляется</x:v>
      </x:c>
      <x:c r="D85" s="51" t="str">
        <x:v>Приложение открыто через локальный HTTP-сервер; localStorage очищен, если не указано иное.</x:v>
      </x:c>
      <x:c r="E85" s="51" t="str">
        <x:v>Таймер запускается без дублирования.</x:v>
      </x:c>
      <x:c r="F85" s="51" t="str">
        <x:v>P1</x:v>
      </x:c>
      <x:c r="G85" s="51" t="str">
        <x:v>Переходы состояний</x:v>
      </x:c>
      <x:c r="H85" s="51" t="str">
        <x:v>Нет</x:v>
      </x:c>
      <x:c r="I85" s="51" t="str">
        <x:v>Не выполнено</x:v>
      </x:c>
      <x:c r="J85" s="52" t="str"/>
    </x:row>
    <x:row r="86" ht="42" customHeight="1">
      <x:c r="A86" s="50" t="str">
        <x:v>CL-083</x:v>
      </x:c>
      <x:c r="B86" s="51" t="str">
        <x:v>Роботы и автодоход</x:v>
      </x:c>
      <x:c r="C86" s="51" t="str">
        <x:v>После blur/visibility hidden автодоход останавливается</x:v>
      </x:c>
      <x:c r="D86" s="51" t="str">
        <x:v>Приложение открыто через локальный HTTP-сервер; localStorage очищен, если не указано иное.</x:v>
      </x:c>
      <x:c r="E86" s="51" t="str">
        <x:v>Нет фонового двойного начисления.</x:v>
      </x:c>
      <x:c r="F86" s="51" t="str">
        <x:v>P1</x:v>
      </x:c>
      <x:c r="G86" s="51" t="str">
        <x:v>Стабильность</x:v>
      </x:c>
      <x:c r="H86" s="51" t="str">
        <x:v>Нет</x:v>
      </x:c>
      <x:c r="I86" s="51" t="str">
        <x:v>Не выполнено</x:v>
      </x:c>
      <x:c r="J86" s="52" t="str"/>
    </x:row>
    <x:row r="87" ht="42" customHeight="1">
      <x:c r="A87" s="50" t="str">
        <x:v>CL-084</x:v>
      </x:c>
      <x:c r="B87" s="51" t="str">
        <x:v>Роботы и автодоход</x:v>
      </x:c>
      <x:c r="C87" s="51" t="str">
        <x:v>Доход и число роботов сохраняются после reload</x:v>
      </x:c>
      <x:c r="D87" s="51" t="str">
        <x:v>Приложение открыто через локальный HTTP-сервер; localStorage очищен, если не указано иное.</x:v>
      </x:c>
      <x:c r="E87" s="51" t="str">
        <x:v>Состояние восстановлено.</x:v>
      </x:c>
      <x:c r="F87" s="51" t="str">
        <x:v>P1</x:v>
      </x:c>
      <x:c r="G87" s="51" t="str">
        <x:v>Сохранение</x:v>
      </x:c>
      <x:c r="H87" s="51" t="str">
        <x:v>Нет</x:v>
      </x:c>
      <x:c r="I87" s="51" t="str">
        <x:v>Не выполнено</x:v>
      </x:c>
      <x:c r="J87" s="52" t="str"/>
    </x:row>
    <x:row r="88" ht="42" customHeight="1">
      <x:c r="A88" s="50" t="str">
        <x:v>CL-085</x:v>
      </x:c>
      <x:c r="B88" s="51" t="str">
        <x:v>Роботы и автодоход</x:v>
      </x:c>
      <x:c r="C88" s="51" t="str">
        <x:v>Офлайн-доход ограничен 2 часами</x:v>
      </x:c>
      <x:c r="D88" s="51" t="str">
        <x:v>Приложение открыто через локальный HTTP-сервер; localStorage очищен, если не указано иное.</x:v>
      </x:c>
      <x:c r="E88" s="51" t="str">
        <x:v>Начисление не превышает 7200 секунд базового дохода.</x:v>
      </x:c>
      <x:c r="F88" s="51" t="str">
        <x:v>P1</x:v>
      </x:c>
      <x:c r="G88" s="51" t="str">
        <x:v>Границы</x:v>
      </x:c>
      <x:c r="H88" s="51" t="str">
        <x:v>Нет</x:v>
      </x:c>
      <x:c r="I88" s="51" t="str">
        <x:v>Не выполнено</x:v>
      </x:c>
      <x:c r="J88" s="52" t="str"/>
    </x:row>
    <x:row r="89" ht="42" customHeight="1">
      <x:c r="A89" s="50" t="str">
        <x:v>CL-086</x:v>
      </x:c>
      <x:c r="B89" s="51" t="str">
        <x:v>Роботы и автодоход</x:v>
      </x:c>
      <x:c r="C89" s="51" t="str">
        <x:v>Армия дронов корректно умножает доход</x:v>
      </x:c>
      <x:c r="D89" s="51" t="str">
        <x:v>Приложение открыто через локальный HTTP-сервер; localStorage очищен, если не указано иное.</x:v>
      </x:c>
      <x:c r="E89" s="51" t="str">
        <x:v>Временный множитель действует заявленное время.</x:v>
      </x:c>
      <x:c r="F89" s="51" t="str">
        <x:v>P1</x:v>
      </x:c>
      <x:c r="G89" s="51" t="str">
        <x:v>Интеграционное</x:v>
      </x:c>
      <x:c r="H89" s="51" t="str">
        <x:v>Нет</x:v>
      </x:c>
      <x:c r="I89" s="51" t="str">
        <x:v>Не выполнено</x:v>
      </x:c>
      <x:c r="J89" s="52" t="str"/>
    </x:row>
    <x:row r="90" ht="42" customHeight="1">
      <x:c r="A90" s="50" t="str">
        <x:v>CL-087</x:v>
      </x:c>
      <x:c r="B90" s="51" t="str">
        <x:v>Скины</x:v>
      </x:c>
      <x:c r="C90" s="51" t="str">
        <x:v>Открывается экран с 16 карточками скинов</x:v>
      </x:c>
      <x:c r="D90" s="51" t="str">
        <x:v>Приложение открыто через локальный HTTP-сервер; localStorage очищен, если не указано иное.</x:v>
      </x:c>
      <x:c r="E90" s="51" t="str">
        <x:v>Отображаются все скины без дублей.</x:v>
      </x:c>
      <x:c r="F90" s="51" t="str">
        <x:v>P1</x:v>
      </x:c>
      <x:c r="G90" s="51" t="str">
        <x:v>Функциональное</x:v>
      </x:c>
      <x:c r="H90" s="51" t="str">
        <x:v>Да</x:v>
      </x:c>
      <x:c r="I90" s="51" t="str">
        <x:v>Не выполнено</x:v>
      </x:c>
      <x:c r="J90" s="52" t="str"/>
    </x:row>
    <x:row r="91" ht="42" customHeight="1">
      <x:c r="A91" s="50" t="str">
        <x:v>CL-088</x:v>
      </x:c>
      <x:c r="B91" s="51" t="str">
        <x:v>Скины</x:v>
      </x:c>
      <x:c r="C91" s="51" t="str">
        <x:v>Стартовый скин принадлежит пользователю</x:v>
      </x:c>
      <x:c r="D91" s="51" t="str">
        <x:v>Приложение открыто через локальный HTTP-сервер; localStorage очищен, если не указано иное.</x:v>
      </x:c>
      <x:c r="E91" s="51" t="str">
        <x:v>Классический робот отмечен «Надето».</x:v>
      </x:c>
      <x:c r="F91" s="51" t="str">
        <x:v>P1</x:v>
      </x:c>
      <x:c r="G91" s="51" t="str">
        <x:v>Функциональное</x:v>
      </x:c>
      <x:c r="H91" s="51" t="str">
        <x:v>Да</x:v>
      </x:c>
      <x:c r="I91" s="51" t="str">
        <x:v>Не выполнено</x:v>
      </x:c>
      <x:c r="J91" s="52" t="str"/>
    </x:row>
    <x:row r="92" ht="42" customHeight="1">
      <x:c r="A92" s="50" t="str">
        <x:v>CL-089</x:v>
      </x:c>
      <x:c r="B92" s="51" t="str">
        <x:v>Скины</x:v>
      </x:c>
      <x:c r="C92" s="51" t="str">
        <x:v>Недоступный по цене скин disabled</x:v>
      </x:c>
      <x:c r="D92" s="51" t="str">
        <x:v>Приложение открыто через локальный HTTP-сервер; localStorage очищен, если не указано иное.</x:v>
      </x:c>
      <x:c r="E92" s="51" t="str">
        <x:v>Купить нельзя, показано «Недостаточно монет».</x:v>
      </x:c>
      <x:c r="F92" s="51" t="str">
        <x:v>P1</x:v>
      </x:c>
      <x:c r="G92" s="51" t="str">
        <x:v>Негативное</x:v>
      </x:c>
      <x:c r="H92" s="51" t="str">
        <x:v>Да</x:v>
      </x:c>
      <x:c r="I92" s="51" t="str">
        <x:v>Не выполнено</x:v>
      </x:c>
      <x:c r="J92" s="52" t="str"/>
    </x:row>
    <x:row r="93" ht="42" customHeight="1">
      <x:c r="A93" s="50" t="str">
        <x:v>CL-090</x:v>
      </x:c>
      <x:c r="B93" s="51" t="str">
        <x:v>Скины</x:v>
      </x:c>
      <x:c r="C93" s="51" t="str">
        <x:v>Покупка доступного скина списывает цену</x:v>
      </x:c>
      <x:c r="D93" s="51" t="str">
        <x:v>Приложение открыто через локальный HTTP-сервер; localStorage очищен, если не указано иное.</x:v>
      </x:c>
      <x:c r="E93" s="51" t="str">
        <x:v>Баланс уменьшается на цену карточки.</x:v>
      </x:c>
      <x:c r="F93" s="51" t="str">
        <x:v>P0</x:v>
      </x:c>
      <x:c r="G93" s="51" t="str">
        <x:v>Функциональное</x:v>
      </x:c>
      <x:c r="H93" s="51" t="str">
        <x:v>Да</x:v>
      </x:c>
      <x:c r="I93" s="51" t="str">
        <x:v>Не выполнено</x:v>
      </x:c>
      <x:c r="J93" s="52" t="str"/>
    </x:row>
    <x:row r="94" ht="42" customHeight="1">
      <x:c r="A94" s="50" t="str">
        <x:v>CL-091</x:v>
      </x:c>
      <x:c r="B94" s="51" t="str">
        <x:v>Скины</x:v>
      </x:c>
      <x:c r="C94" s="51" t="str">
        <x:v>Купленный скин автоматически надевается</x:v>
      </x:c>
      <x:c r="D94" s="51" t="str">
        <x:v>Приложение открыто через локальный HTTP-сервер; localStorage очищен, если не указано иное.</x:v>
      </x:c>
      <x:c r="E94" s="51" t="str">
        <x:v>Иконка игрового объекта меняется.</x:v>
      </x:c>
      <x:c r="F94" s="51" t="str">
        <x:v>P1</x:v>
      </x:c>
      <x:c r="G94" s="51" t="str">
        <x:v>Функциональное</x:v>
      </x:c>
      <x:c r="H94" s="51" t="str">
        <x:v>Да</x:v>
      </x:c>
      <x:c r="I94" s="51" t="str">
        <x:v>Не выполнено</x:v>
      </x:c>
      <x:c r="J94" s="52" t="str"/>
    </x:row>
    <x:row r="95" ht="42" customHeight="1">
      <x:c r="A95" s="50" t="str">
        <x:v>CL-092</x:v>
      </x:c>
      <x:c r="B95" s="51" t="str">
        <x:v>Скины</x:v>
      </x:c>
      <x:c r="C95" s="51" t="str">
        <x:v>Купленный скин остаётся доступным без повторной оплаты</x:v>
      </x:c>
      <x:c r="D95" s="51" t="str">
        <x:v>Приложение открыто через локальный HTTP-сервер; localStorage очищен, если не указано иное.</x:v>
      </x:c>
      <x:c r="E95" s="51" t="str">
        <x:v>Кнопка показывает «Куплено»/«Надето».</x:v>
      </x:c>
      <x:c r="F95" s="51" t="str">
        <x:v>P1</x:v>
      </x:c>
      <x:c r="G95" s="51" t="str">
        <x:v>Функциональное</x:v>
      </x:c>
      <x:c r="H95" s="51" t="str">
        <x:v>Нет</x:v>
      </x:c>
      <x:c r="I95" s="51" t="str">
        <x:v>Не выполнено</x:v>
      </x:c>
      <x:c r="J95" s="52" t="str"/>
    </x:row>
    <x:row r="96" ht="42" customHeight="1">
      <x:c r="A96" s="50" t="str">
        <x:v>CL-093</x:v>
      </x:c>
      <x:c r="B96" s="51" t="str">
        <x:v>Скины</x:v>
      </x:c>
      <x:c r="C96" s="51" t="str">
        <x:v>Можно переключаться между принадлежащими скинами</x:v>
      </x:c>
      <x:c r="D96" s="51" t="str">
        <x:v>Приложение открыто через локальный HTTP-сервер; localStorage очищен, если не указано иное.</x:v>
      </x:c>
      <x:c r="E96" s="51" t="str">
        <x:v>selectedSkinId и иконка обновляются.</x:v>
      </x:c>
      <x:c r="F96" s="51" t="str">
        <x:v>P1</x:v>
      </x:c>
      <x:c r="G96" s="51" t="str">
        <x:v>Переходы состояний</x:v>
      </x:c>
      <x:c r="H96" s="51" t="str">
        <x:v>Нет</x:v>
      </x:c>
      <x:c r="I96" s="51" t="str">
        <x:v>Не выполнено</x:v>
      </x:c>
      <x:c r="J96" s="52" t="str"/>
    </x:row>
    <x:row r="97" ht="42" customHeight="1">
      <x:c r="A97" s="50" t="str">
        <x:v>CL-094</x:v>
      </x:c>
      <x:c r="B97" s="51" t="str">
        <x:v>Скины</x:v>
      </x:c>
      <x:c r="C97" s="51" t="str">
        <x:v>Редкость отображается корректно</x:v>
      </x:c>
      <x:c r="D97" s="51" t="str">
        <x:v>Приложение открыто через локальный HTTP-сервер; localStorage очищен, если не указано иное.</x:v>
      </x:c>
      <x:c r="E97" s="51" t="str">
        <x:v>Common/Uncommon/Rare/Ultra соответствует данным.</x:v>
      </x:c>
      <x:c r="F97" s="51" t="str">
        <x:v>P2</x:v>
      </x:c>
      <x:c r="G97" s="51" t="str">
        <x:v>UI</x:v>
      </x:c>
      <x:c r="H97" s="51" t="str">
        <x:v>Нет</x:v>
      </x:c>
      <x:c r="I97" s="51" t="str">
        <x:v>Не выполнено</x:v>
      </x:c>
      <x:c r="J97" s="52" t="str"/>
    </x:row>
    <x:row r="98" ht="42" customHeight="1">
      <x:c r="A98" s="50" t="str">
        <x:v>CL-095</x:v>
      </x:c>
      <x:c r="B98" s="51" t="str">
        <x:v>Скины</x:v>
      </x:c>
      <x:c r="C98" s="51" t="str">
        <x:v>Названия скинов переводятся на EN</x:v>
      </x:c>
      <x:c r="D98" s="51" t="str">
        <x:v>Приложение открыто через локальный HTTP-сервер; localStorage очищен, если не указано иное.</x:v>
      </x:c>
      <x:c r="E98" s="51" t="str">
        <x:v>Все 16 названий имеют английский вариант.</x:v>
      </x:c>
      <x:c r="F98" s="51" t="str">
        <x:v>P2</x:v>
      </x:c>
      <x:c r="G98" s="51" t="str">
        <x:v>Локализация</x:v>
      </x:c>
      <x:c r="H98" s="51" t="str">
        <x:v>Нет</x:v>
      </x:c>
      <x:c r="I98" s="51" t="str">
        <x:v>Не выполнено</x:v>
      </x:c>
      <x:c r="J98" s="52" t="str"/>
    </x:row>
    <x:row r="99" ht="42" customHeight="1">
      <x:c r="A99" s="50" t="str">
        <x:v>CL-096</x:v>
      </x:c>
      <x:c r="B99" s="51" t="str">
        <x:v>Скины</x:v>
      </x:c>
      <x:c r="C99" s="51" t="str">
        <x:v>Состояние owned/selected сохраняется</x:v>
      </x:c>
      <x:c r="D99" s="51" t="str">
        <x:v>Приложение открыто через локальный HTTP-сервер; localStorage очищен, если не указано иное.</x:v>
      </x:c>
      <x:c r="E99" s="51" t="str">
        <x:v>После reload выбранный скин восстановлен.</x:v>
      </x:c>
      <x:c r="F99" s="51" t="str">
        <x:v>P1</x:v>
      </x:c>
      <x:c r="G99" s="51" t="str">
        <x:v>Сохранение</x:v>
      </x:c>
      <x:c r="H99" s="51" t="str">
        <x:v>Нет</x:v>
      </x:c>
      <x:c r="I99" s="51" t="str">
        <x:v>Не выполнено</x:v>
      </x:c>
      <x:c r="J99" s="52" t="str"/>
    </x:row>
    <x:row r="100" ht="42" customHeight="1">
      <x:c r="A100" s="50" t="str">
        <x:v>CL-097</x:v>
      </x:c>
      <x:c r="B100" s="51" t="str">
        <x:v>Скины</x:v>
      </x:c>
      <x:c r="C100" s="51" t="str">
        <x:v>Наградная реклама не выдаёт уже принадлежащий скин</x:v>
      </x:c>
      <x:c r="D100" s="51" t="str">
        <x:v>Приложение открыто через локальный HTTP-сервер; localStorage очищен, если не указано иное.</x:v>
      </x:c>
      <x:c r="E100" s="51" t="str">
        <x:v>Выбирается только новый доступный скин.</x:v>
      </x:c>
      <x:c r="F100" s="51" t="str">
        <x:v>P1</x:v>
      </x:c>
      <x:c r="G100" s="51" t="str">
        <x:v>Интеграционное</x:v>
      </x:c>
      <x:c r="H100" s="51" t="str">
        <x:v>Нет</x:v>
      </x:c>
      <x:c r="I100" s="51" t="str">
        <x:v>Не выполнено</x:v>
      </x:c>
      <x:c r="J100" s="52" t="str"/>
    </x:row>
    <x:row r="101" ht="42" customHeight="1">
      <x:c r="A101" s="50" t="str">
        <x:v>CL-098</x:v>
      </x:c>
      <x:c r="B101" s="51" t="str">
        <x:v>Скины</x:v>
      </x:c>
      <x:c r="C101" s="51" t="str">
        <x:v>При наличии всех скинов награда не ломает игру</x:v>
      </x:c>
      <x:c r="D101" s="51" t="str">
        <x:v>Приложение открыто через локальный HTTP-сервер; localStorage очищен, если не указано иное.</x:v>
      </x:c>
      <x:c r="E101" s="51" t="str">
        <x:v>Состояние остаётся стабильным.</x:v>
      </x:c>
      <x:c r="F101" s="51" t="str">
        <x:v>P2</x:v>
      </x:c>
      <x:c r="G101" s="51" t="str">
        <x:v>Негативное</x:v>
      </x:c>
      <x:c r="H101" s="51" t="str">
        <x:v>Нет</x:v>
      </x:c>
      <x:c r="I101" s="51" t="str">
        <x:v>Не выполнено</x:v>
      </x:c>
      <x:c r="J101" s="52" t="str"/>
    </x:row>
    <x:row r="102" ht="42" customHeight="1">
      <x:c r="A102" s="50" t="str">
        <x:v>CL-099</x:v>
      </x:c>
      <x:c r="B102" s="51" t="str">
        <x:v>Бусты</x:v>
      </x:c>
      <x:c r="C102" s="51" t="str">
        <x:v>Открывается экран бустов</x:v>
      </x:c>
      <x:c r="D102" s="51" t="str">
        <x:v>Приложение открыто через локальный HTTP-сервер; localStorage очищен, если не указано иное.</x:v>
      </x:c>
      <x:c r="E102" s="51" t="str">
        <x:v>Отображаются вкладки и карточки текущей категории.</x:v>
      </x:c>
      <x:c r="F102" s="51" t="str">
        <x:v>P1</x:v>
      </x:c>
      <x:c r="G102" s="51" t="str">
        <x:v>Функциональное</x:v>
      </x:c>
      <x:c r="H102" s="51" t="str">
        <x:v>Да</x:v>
      </x:c>
      <x:c r="I102" s="51" t="str">
        <x:v>Не выполнено</x:v>
      </x:c>
      <x:c r="J102" s="52" t="str"/>
    </x:row>
    <x:row r="103" ht="42" customHeight="1">
      <x:c r="A103" s="50" t="str">
        <x:v>CL-100</x:v>
      </x:c>
      <x:c r="B103" s="51" t="str">
        <x:v>Бусты</x:v>
      </x:c>
      <x:c r="C103" s="51" t="str">
        <x:v>Отображаются три категории</x:v>
      </x:c>
      <x:c r="D103" s="51" t="str">
        <x:v>Приложение открыто через локальный HTTP-сервер; localStorage очищен, если не указано иное.</x:v>
      </x:c>
      <x:c r="E103" s="51" t="str">
        <x:v>Временные, Постоянные и Супер.</x:v>
      </x:c>
      <x:c r="F103" s="51" t="str">
        <x:v>P1</x:v>
      </x:c>
      <x:c r="G103" s="51" t="str">
        <x:v>Функциональное</x:v>
      </x:c>
      <x:c r="H103" s="51" t="str">
        <x:v>Да</x:v>
      </x:c>
      <x:c r="I103" s="51" t="str">
        <x:v>Не выполнено</x:v>
      </x:c>
      <x:c r="J103" s="52" t="str"/>
    </x:row>
    <x:row r="104" ht="42" customHeight="1">
      <x:c r="A104" s="50" t="str">
        <x:v>CL-101</x:v>
      </x:c>
      <x:c r="B104" s="51" t="str">
        <x:v>Бусты</x:v>
      </x:c>
      <x:c r="C104" s="51" t="str">
        <x:v>Переключение вкладок меняет набор карточек</x:v>
      </x:c>
      <x:c r="D104" s="51" t="str">
        <x:v>Приложение открыто через локальный HTTP-сервер; localStorage очищен, если не указано иное.</x:v>
      </x:c>
      <x:c r="E104" s="51" t="str">
        <x:v>Карточки соответствуют категории.</x:v>
      </x:c>
      <x:c r="F104" s="51" t="str">
        <x:v>P1</x:v>
      </x:c>
      <x:c r="G104" s="51" t="str">
        <x:v>Функциональное</x:v>
      </x:c>
      <x:c r="H104" s="51" t="str">
        <x:v>Да</x:v>
      </x:c>
      <x:c r="I104" s="51" t="str">
        <x:v>Не выполнено</x:v>
      </x:c>
      <x:c r="J104" s="52" t="str"/>
    </x:row>
    <x:row r="105" ht="42" customHeight="1">
      <x:c r="A105" s="50" t="str">
        <x:v>CL-102</x:v>
      </x:c>
      <x:c r="B105" s="51" t="str">
        <x:v>Бусты</x:v>
      </x:c>
      <x:c r="C105" s="51" t="str">
        <x:v>Всего в данных определено 12 бустов</x:v>
      </x:c>
      <x:c r="D105" s="51" t="str">
        <x:v>Приложение открыто через локальный HTTP-сервер; localStorage очищен, если не указано иное.</x:v>
      </x:c>
      <x:c r="E105" s="51" t="str">
        <x:v>Все бусты доступны в соответствующих категориях.</x:v>
      </x:c>
      <x:c r="F105" s="51" t="str">
        <x:v>P2</x:v>
      </x:c>
      <x:c r="G105" s="51" t="str">
        <x:v>Полнота</x:v>
      </x:c>
      <x:c r="H105" s="51" t="str">
        <x:v>Нет</x:v>
      </x:c>
      <x:c r="I105" s="51" t="str">
        <x:v>Не выполнено</x:v>
      </x:c>
      <x:c r="J105" s="52" t="str"/>
    </x:row>
    <x:row r="106" ht="42" customHeight="1">
      <x:c r="A106" s="50" t="str">
        <x:v>CL-103</x:v>
      </x:c>
      <x:c r="B106" s="51" t="str">
        <x:v>Бусты</x:v>
      </x:c>
      <x:c r="C106" s="51" t="str">
        <x:v>Недостаточный баланс блокирует покупку</x:v>
      </x:c>
      <x:c r="D106" s="51" t="str">
        <x:v>Приложение открыто через локальный HTTP-сервер; localStorage очищен, если не указано иное.</x:v>
      </x:c>
      <x:c r="E106" s="51" t="str">
        <x:v>Кнопка disabled, монеты не списываются.</x:v>
      </x:c>
      <x:c r="F106" s="51" t="str">
        <x:v>P1</x:v>
      </x:c>
      <x:c r="G106" s="51" t="str">
        <x:v>Негативное</x:v>
      </x:c>
      <x:c r="H106" s="51" t="str">
        <x:v>Да</x:v>
      </x:c>
      <x:c r="I106" s="51" t="str">
        <x:v>Не выполнено</x:v>
      </x:c>
      <x:c r="J106" s="52" t="str"/>
    </x:row>
    <x:row r="107" ht="42" customHeight="1">
      <x:c r="A107" s="50" t="str">
        <x:v>CL-104</x:v>
      </x:c>
      <x:c r="B107" s="51" t="str">
        <x:v>Бусты</x:v>
      </x:c>
      <x:c r="C107" s="51" t="str">
        <x:v>Покупка буста списывает его текущую цену</x:v>
      </x:c>
      <x:c r="D107" s="51" t="str">
        <x:v>Приложение открыто через локальный HTTP-сервер; localStorage очищен, если не указано иное.</x:v>
      </x:c>
      <x:c r="E107" s="51" t="str">
        <x:v>Баланс уменьшается ровно на цену.</x:v>
      </x:c>
      <x:c r="F107" s="51" t="str">
        <x:v>P0</x:v>
      </x:c>
      <x:c r="G107" s="51" t="str">
        <x:v>Функциональное</x:v>
      </x:c>
      <x:c r="H107" s="51" t="str">
        <x:v>Да</x:v>
      </x:c>
      <x:c r="I107" s="51" t="str">
        <x:v>Не выполнено</x:v>
      </x:c>
      <x:c r="J107" s="52" t="str"/>
    </x:row>
    <x:row r="108" ht="42" customHeight="1">
      <x:c r="A108" s="50" t="str">
        <x:v>CL-105</x:v>
      </x:c>
      <x:c r="B108" s="51" t="str">
        <x:v>Бусты</x:v>
      </x:c>
      <x:c r="C108" s="51" t="str">
        <x:v>Цена повторной покупки растёт по priceMultiplier</x:v>
      </x:c>
      <x:c r="D108" s="51" t="str">
        <x:v>Приложение открыто через локальный HTTP-сервер; localStorage очищен, если не указано иное.</x:v>
      </x:c>
      <x:c r="E108" s="51" t="str">
        <x:v>Следующая цена выше предыдущей.</x:v>
      </x:c>
      <x:c r="F108" s="51" t="str">
        <x:v>P1</x:v>
      </x:c>
      <x:c r="G108" s="51" t="str">
        <x:v>Расчёты</x:v>
      </x:c>
      <x:c r="H108" s="51" t="str">
        <x:v>Нет</x:v>
      </x:c>
      <x:c r="I108" s="51" t="str">
        <x:v>Не выполнено</x:v>
      </x:c>
      <x:c r="J108" s="52" t="str"/>
    </x:row>
    <x:row r="109" ht="42" customHeight="1">
      <x:c r="A109" s="50" t="str">
        <x:v>CL-106</x:v>
      </x:c>
      <x:c r="B109" s="51" t="str">
        <x:v>Бусты</x:v>
      </x:c>
      <x:c r="C109" s="51" t="str">
        <x:v>Neon Overdrive увеличивает силу клика</x:v>
      </x:c>
      <x:c r="D109" s="51" t="str">
        <x:v>Приложение открыто через локальный HTTP-сервер; localStorage очищен, если не указано иное.</x:v>
      </x:c>
      <x:c r="E109" s="51" t="str">
        <x:v>Эффективная сила умножается на текущий эффект.</x:v>
      </x:c>
      <x:c r="F109" s="51" t="str">
        <x:v>P1</x:v>
      </x:c>
      <x:c r="G109" s="51" t="str">
        <x:v>Интеграционное</x:v>
      </x:c>
      <x:c r="H109" s="51" t="str">
        <x:v>Нет</x:v>
      </x:c>
      <x:c r="I109" s="51" t="str">
        <x:v>Не выполнено</x:v>
      </x:c>
      <x:c r="J109" s="52" t="str"/>
    </x:row>
    <x:row r="110" ht="42" customHeight="1">
      <x:c r="A110" s="50" t="str">
        <x:v>CL-107</x:v>
      </x:c>
      <x:c r="B110" s="51" t="str">
        <x:v>Бусты</x:v>
      </x:c>
      <x:c r="C110" s="51" t="str">
        <x:v>Golden Storm увеличивает монеты за клик</x:v>
      </x:c>
      <x:c r="D110" s="51" t="str">
        <x:v>Приложение открыто через локальный HTTP-сервер; localStorage очищен, если не указано иное.</x:v>
      </x:c>
      <x:c r="E110" s="51" t="str">
        <x:v>Начисление соответствует +150%.</x:v>
      </x:c>
      <x:c r="F110" s="51" t="str">
        <x:v>P1</x:v>
      </x:c>
      <x:c r="G110" s="51" t="str">
        <x:v>Интеграционное</x:v>
      </x:c>
      <x:c r="H110" s="51" t="str">
        <x:v>Нет</x:v>
      </x:c>
      <x:c r="I110" s="51" t="str">
        <x:v>Не выполнено</x:v>
      </x:c>
      <x:c r="J110" s="52" t="str"/>
    </x:row>
    <x:row r="111" ht="42" customHeight="1">
      <x:c r="A111" s="50" t="str">
        <x:v>CL-108</x:v>
      </x:c>
      <x:c r="B111" s="51" t="str">
        <x:v>Бусты</x:v>
      </x:c>
      <x:c r="C111" s="51" t="str">
        <x:v>Timed-буст отображается в активном списке</x:v>
      </x:c>
      <x:c r="D111" s="51" t="str">
        <x:v>Приложение открыто через локальный HTTP-сервер; localStorage очищен, если не указано иное.</x:v>
      </x:c>
      <x:c r="E111" s="51" t="str">
        <x:v>Есть название, таймер и progress bar.</x:v>
      </x:c>
      <x:c r="F111" s="51" t="str">
        <x:v>P1</x:v>
      </x:c>
      <x:c r="G111" s="51" t="str">
        <x:v>UI</x:v>
      </x:c>
      <x:c r="H111" s="51" t="str">
        <x:v>Да</x:v>
      </x:c>
      <x:c r="I111" s="51" t="str">
        <x:v>Не выполнено</x:v>
      </x:c>
      <x:c r="J111" s="52" t="str"/>
    </x:row>
    <x:row r="112" ht="42" customHeight="1">
      <x:c r="A112" s="50" t="str">
        <x:v>CL-109</x:v>
      </x:c>
      <x:c r="B112" s="51" t="str">
        <x:v>Бусты</x:v>
      </x:c>
      <x:c r="C112" s="51" t="str">
        <x:v>Активный timed-буст нельзя купить повторно</x:v>
      </x:c>
      <x:c r="D112" s="51" t="str">
        <x:v>Приложение открыто через локальный HTTP-сервер; localStorage очищен, если не указано иное.</x:v>
      </x:c>
      <x:c r="E112" s="51" t="str">
        <x:v>Кнопка disabled «Уже активен».</x:v>
      </x:c>
      <x:c r="F112" s="51" t="str">
        <x:v>P1</x:v>
      </x:c>
      <x:c r="G112" s="51" t="str">
        <x:v>Негативное</x:v>
      </x:c>
      <x:c r="H112" s="51" t="str">
        <x:v>Нет</x:v>
      </x:c>
      <x:c r="I112" s="51" t="str">
        <x:v>Не выполнено</x:v>
      </x:c>
      <x:c r="J112" s="52" t="str"/>
    </x:row>
    <x:row r="113" ht="42" customHeight="1">
      <x:c r="A113" s="50" t="str">
        <x:v>CL-110</x:v>
      </x:c>
      <x:c r="B113" s="51" t="str">
        <x:v>Бусты</x:v>
      </x:c>
      <x:c r="C113" s="51" t="str">
        <x:v>По истечении таймера эффект отключается</x:v>
      </x:c>
      <x:c r="D113" s="51" t="str">
        <x:v>Приложение открыто через локальный HTTP-сервер; localStorage очищен, если не указано иное.</x:v>
      </x:c>
      <x:c r="E113" s="51" t="str">
        <x:v>Множители возвращаются к базовым.</x:v>
      </x:c>
      <x:c r="F113" s="51" t="str">
        <x:v>P0</x:v>
      </x:c>
      <x:c r="G113" s="51" t="str">
        <x:v>Переходы состояний</x:v>
      </x:c>
      <x:c r="H113" s="51" t="str">
        <x:v>Нет</x:v>
      </x:c>
      <x:c r="I113" s="51" t="str">
        <x:v>Не выполнено</x:v>
      </x:c>
      <x:c r="J113" s="52" t="str"/>
    </x:row>
    <x:row r="114" ht="42" customHeight="1">
      <x:c r="A114" s="50" t="str">
        <x:v>CL-111</x:v>
      </x:c>
      <x:c r="B114" s="51" t="str">
        <x:v>Бусты</x:v>
      </x:c>
      <x:c r="C114" s="51" t="str">
        <x:v>Time Freeze замедляет другие таймеры</x:v>
      </x:c>
      <x:c r="D114" s="51" t="str">
        <x:v>Приложение открыто через локальный HTTP-сервер; localStorage очищен, если не указано иное.</x:v>
      </x:c>
      <x:c r="E114" s="51" t="str">
        <x:v>Оставшееся время других бустов продлевается.</x:v>
      </x:c>
      <x:c r="F114" s="51" t="str">
        <x:v>P1</x:v>
      </x:c>
      <x:c r="G114" s="51" t="str">
        <x:v>Интеграционное</x:v>
      </x:c>
      <x:c r="H114" s="51" t="str">
        <x:v>Нет</x:v>
      </x:c>
      <x:c r="I114" s="51" t="str">
        <x:v>Не выполнено</x:v>
      </x:c>
      <x:c r="J114" s="52" t="str"/>
    </x:row>
    <x:row r="115" ht="42" customHeight="1">
      <x:c r="A115" s="50" t="str">
        <x:v>CL-112</x:v>
      </x:c>
      <x:c r="B115" s="51" t="str">
        <x:v>Бусты</x:v>
      </x:c>
      <x:c r="C115" s="51" t="str">
        <x:v>Coin Burst начисляет мгновенную награду</x:v>
      </x:c>
      <x:c r="D115" s="51" t="str">
        <x:v>Приложение открыто через локальный HTTP-сервер; localStorage очищен, если не указано иное.</x:v>
      </x:c>
      <x:c r="E115" s="51" t="str">
        <x:v>Баланс и totalCoinsEarned увеличены.</x:v>
      </x:c>
      <x:c r="F115" s="51" t="str">
        <x:v>P1</x:v>
      </x:c>
      <x:c r="G115" s="51" t="str">
        <x:v>Функциональное</x:v>
      </x:c>
      <x:c r="H115" s="51" t="str">
        <x:v>Нет</x:v>
      </x:c>
      <x:c r="I115" s="51" t="str">
        <x:v>Не выполнено</x:v>
      </x:c>
      <x:c r="J115" s="52" t="str"/>
    </x:row>
    <x:row r="116" ht="42" customHeight="1">
      <x:c r="A116" s="50" t="str">
        <x:v>CL-113</x:v>
      </x:c>
      <x:c r="B116" s="51" t="str">
        <x:v>Бусты</x:v>
      </x:c>
      <x:c r="C116" s="51" t="str">
        <x:v>Discount Protocol влияет на отображаемую и фактическую цену</x:v>
      </x:c>
      <x:c r="D116" s="51" t="str">
        <x:v>Приложение открыто через локальный HTTP-сервер; localStorage очищен, если не указано иное.</x:v>
      </x:c>
      <x:c r="E116" s="51" t="str">
        <x:v>Нет расхождения UI и списания.</x:v>
      </x:c>
      <x:c r="F116" s="51" t="str">
        <x:v>P1</x:v>
      </x:c>
      <x:c r="G116" s="51" t="str">
        <x:v>Интеграционное</x:v>
      </x:c>
      <x:c r="H116" s="51" t="str">
        <x:v>Нет</x:v>
      </x:c>
      <x:c r="I116" s="51" t="str">
        <x:v>Не выполнено</x:v>
      </x:c>
      <x:c r="J116" s="52" t="str"/>
    </x:row>
    <x:row r="117" ht="42" customHeight="1">
      <x:c r="A117" s="50" t="str">
        <x:v>CL-114</x:v>
      </x:c>
      <x:c r="B117" s="51" t="str">
        <x:v>Бусты</x:v>
      </x:c>
      <x:c r="C117" s="51" t="str">
        <x:v>Permanent processor увеличивает силу клика</x:v>
      </x:c>
      <x:c r="D117" s="51" t="str">
        <x:v>Приложение открыто через локальный HTTP-сервер; localStorage очищен, если не указано иное.</x:v>
      </x:c>
      <x:c r="E117" s="51" t="str">
        <x:v>Эффект суммируется по покупкам.</x:v>
      </x:c>
      <x:c r="F117" s="51" t="str">
        <x:v>P1</x:v>
      </x:c>
      <x:c r="G117" s="51" t="str">
        <x:v>Функциональное</x:v>
      </x:c>
      <x:c r="H117" s="51" t="str">
        <x:v>Нет</x:v>
      </x:c>
      <x:c r="I117" s="51" t="str">
        <x:v>Не выполнено</x:v>
      </x:c>
      <x:c r="J117" s="52" t="str"/>
    </x:row>
    <x:row r="118" ht="42" customHeight="1">
      <x:c r="A118" s="50" t="str">
        <x:v>CL-115</x:v>
      </x:c>
      <x:c r="B118" s="51" t="str">
        <x:v>Бусты</x:v>
      </x:c>
      <x:c r="C118" s="51" t="str">
        <x:v>Eternal Generator увеличивает доход роботов на 0.5</x:v>
      </x:c>
      <x:c r="D118" s="51" t="str">
        <x:v>Приложение открыто через локальный HTTP-сервер; localStorage очищен, если не указано иное.</x:v>
      </x:c>
      <x:c r="E118" s="51" t="str">
        <x:v>Эффективный доход допускает дробный базовый эффект и корректно округляется при начислении.</x:v>
      </x:c>
      <x:c r="F118" s="51" t="str">
        <x:v>P2</x:v>
      </x:c>
      <x:c r="G118" s="51" t="str">
        <x:v>Расчёты</x:v>
      </x:c>
      <x:c r="H118" s="51" t="str">
        <x:v>Нет</x:v>
      </x:c>
      <x:c r="I118" s="51" t="str">
        <x:v>Не выполнено</x:v>
      </x:c>
      <x:c r="J118" s="52" t="str"/>
    </x:row>
    <x:row r="119" ht="42" customHeight="1">
      <x:c r="A119" s="50" t="str">
        <x:v>CL-116</x:v>
      </x:c>
      <x:c r="B119" s="51" t="str">
        <x:v>Бусты</x:v>
      </x:c>
      <x:c r="C119" s="51" t="str">
        <x:v>One-time буст нельзя купить второй раз</x:v>
      </x:c>
      <x:c r="D119" s="51" t="str">
        <x:v>Приложение открыто через локальный HTTP-сервер; localStorage очищен, если не указано иное.</x:v>
      </x:c>
      <x:c r="E119" s="51" t="str">
        <x:v>После использования статус «Использован».</x:v>
      </x:c>
      <x:c r="F119" s="51" t="str">
        <x:v>P1</x:v>
      </x:c>
      <x:c r="G119" s="51" t="str">
        <x:v>Негативное</x:v>
      </x:c>
      <x:c r="H119" s="51" t="str">
        <x:v>Нет</x:v>
      </x:c>
      <x:c r="I119" s="51" t="str">
        <x:v>Не выполнено</x:v>
      </x:c>
      <x:c r="J119" s="52" t="str"/>
    </x:row>
    <x:row r="120" ht="42" customHeight="1">
      <x:c r="A120" s="50" t="str">
        <x:v>CL-117</x:v>
      </x:c>
      <x:c r="B120" s="51" t="str">
        <x:v>Бусты</x:v>
      </x:c>
      <x:c r="C120" s="51" t="str">
        <x:v>Состояние бустов сохраняется после reload</x:v>
      </x:c>
      <x:c r="D120" s="51" t="str">
        <x:v>Приложение открыто через локальный HTTP-сервер; localStorage очищен, если не указано иное.</x:v>
      </x:c>
      <x:c r="E120" s="51" t="str">
        <x:v>Уровни, цены, active/endAt и pending-состояния восстановлены.</x:v>
      </x:c>
      <x:c r="F120" s="51" t="str">
        <x:v>P1</x:v>
      </x:c>
      <x:c r="G120" s="51" t="str">
        <x:v>Сохранение</x:v>
      </x:c>
      <x:c r="H120" s="51" t="str">
        <x:v>Нет</x:v>
      </x:c>
      <x:c r="I120" s="51" t="str">
        <x:v>Не выполнено</x:v>
      </x:c>
      <x:c r="J120" s="52" t="str"/>
    </x:row>
    <x:row r="121" ht="42" customHeight="1">
      <x:c r="A121" s="50" t="str">
        <x:v>CL-118</x:v>
      </x:c>
      <x:c r="B121" s="51" t="str">
        <x:v>Бусты</x:v>
      </x:c>
      <x:c r="C121" s="51" t="str">
        <x:v>Rewarded ad выдаёт только допустимый буст</x:v>
      </x:c>
      <x:c r="D121" s="51" t="str">
        <x:v>Приложение открыто через локальный HTTP-сервер; localStorage очищен, если не указано иное.</x:v>
      </x:c>
      <x:c r="E121" s="51" t="str">
        <x:v>Не выдаётся активный или уже использованный one-time буст.</x:v>
      </x:c>
      <x:c r="F121" s="51" t="str">
        <x:v>P1</x:v>
      </x:c>
      <x:c r="G121" s="51" t="str">
        <x:v>Интеграционное</x:v>
      </x:c>
      <x:c r="H121" s="51" t="str">
        <x:v>Нет</x:v>
      </x:c>
      <x:c r="I121" s="51" t="str">
        <x:v>Не выполнено</x:v>
      </x:c>
      <x:c r="J121" s="52" t="str"/>
    </x:row>
    <x:row r="122" ht="42" customHeight="1">
      <x:c r="A122" s="50" t="str">
        <x:v>CL-119</x:v>
      </x:c>
      <x:c r="B122" s="51" t="str">
        <x:v>Достижения</x:v>
      </x:c>
      <x:c r="C122" s="51" t="str">
        <x:v>До первого открытия кнопка визуально заблокирована</x:v>
      </x:c>
      <x:c r="D122" s="51" t="str">
        <x:v>Приложение открыто через локальный HTTP-сервер; localStorage очищен, если не указано иное.</x:v>
      </x:c>
      <x:c r="E122" s="51" t="str">
        <x:v>Состояние locked отображается согласно дизайну.</x:v>
      </x:c>
      <x:c r="F122" s="51" t="str">
        <x:v>P3</x:v>
      </x:c>
      <x:c r="G122" s="51" t="str">
        <x:v>UI</x:v>
      </x:c>
      <x:c r="H122" s="51" t="str">
        <x:v>Нет</x:v>
      </x:c>
      <x:c r="I122" s="51" t="str">
        <x:v>Не выполнено</x:v>
      </x:c>
      <x:c r="J122" s="52" t="str"/>
    </x:row>
    <x:row r="123" ht="42" customHeight="1">
      <x:c r="A123" s="50" t="str">
        <x:v>CL-120</x:v>
      </x:c>
      <x:c r="B123" s="51" t="str">
        <x:v>Достижения</x:v>
      </x:c>
      <x:c r="C123" s="51" t="str">
        <x:v>Кнопка достижений открывает модальное окно</x:v>
      </x:c>
      <x:c r="D123" s="51" t="str">
        <x:v>Приложение открыто через локальный HTTP-сервер; localStorage очищен, если не указано иное.</x:v>
      </x:c>
      <x:c r="E123" s="51" t="str">
        <x:v>Отображаются серии и общий прогресс.</x:v>
      </x:c>
      <x:c r="F123" s="51" t="str">
        <x:v>P1</x:v>
      </x:c>
      <x:c r="G123" s="51" t="str">
        <x:v>Функциональное</x:v>
      </x:c>
      <x:c r="H123" s="51" t="str">
        <x:v>Да</x:v>
      </x:c>
      <x:c r="I123" s="51" t="str">
        <x:v>Не выполнено</x:v>
      </x:c>
      <x:c r="J123" s="52" t="str"/>
    </x:row>
    <x:row r="124" ht="42" customHeight="1">
      <x:c r="A124" s="50" t="str">
        <x:v>CL-121</x:v>
      </x:c>
      <x:c r="B124" s="51" t="str">
        <x:v>Достижения</x:v>
      </x:c>
      <x:c r="C124" s="51" t="str">
        <x:v>В данных присутствует 80 достижений</x:v>
      </x:c>
      <x:c r="D124" s="51" t="str">
        <x:v>Приложение открыто через локальный HTTP-сервер; localStorage очищен, если не указано иное.</x:v>
      </x:c>
      <x:c r="E124" s="51" t="str">
        <x:v>Все legacy-условия включены в серии.</x:v>
      </x:c>
      <x:c r="F124" s="51" t="str">
        <x:v>P2</x:v>
      </x:c>
      <x:c r="G124" s="51" t="str">
        <x:v>Полнота</x:v>
      </x:c>
      <x:c r="H124" s="51" t="str">
        <x:v>Нет</x:v>
      </x:c>
      <x:c r="I124" s="51" t="str">
        <x:v>Не выполнено</x:v>
      </x:c>
      <x:c r="J124" s="52" t="str"/>
    </x:row>
    <x:row r="125" ht="42" customHeight="1">
      <x:c r="A125" s="50" t="str">
        <x:v>CL-122</x:v>
      </x:c>
      <x:c r="B125" s="51" t="str">
        <x:v>Достижения</x:v>
      </x:c>
      <x:c r="C125" s="51" t="str">
        <x:v>Сформировано 11 серий достижений</x:v>
      </x:c>
      <x:c r="D125" s="51" t="str">
        <x:v>Приложение открыто через локальный HTTP-сервер; localStorage очищен, если не указано иное.</x:v>
      </x:c>
      <x:c r="E125" s="51" t="str">
        <x:v>Серии отображаются без потери шагов.</x:v>
      </x:c>
      <x:c r="F125" s="51" t="str">
        <x:v>P2</x:v>
      </x:c>
      <x:c r="G125" s="51" t="str">
        <x:v>Функциональное</x:v>
      </x:c>
      <x:c r="H125" s="51" t="str">
        <x:v>Нет</x:v>
      </x:c>
      <x:c r="I125" s="51" t="str">
        <x:v>Не выполнено</x:v>
      </x:c>
      <x:c r="J125" s="52" t="str"/>
    </x:row>
    <x:row r="126" ht="42" customHeight="1">
      <x:c r="A126" s="50" t="str">
        <x:v>CL-123</x:v>
      </x:c>
      <x:c r="B126" s="51" t="str">
        <x:v>Достижения</x:v>
      </x:c>
      <x:c r="C126" s="51" t="str">
        <x:v>Первый клик открывает достижение «Первый контакт»</x:v>
      </x:c>
      <x:c r="D126" s="51" t="str">
        <x:v>Приложение открыто через локальный HTTP-сервер; localStorage очищен, если не указано иное.</x:v>
      </x:c>
      <x:c r="E126" s="51" t="str">
        <x:v>Награда становится доступна.</x:v>
      </x:c>
      <x:c r="F126" s="51" t="str">
        <x:v>P1</x:v>
      </x:c>
      <x:c r="G126" s="51" t="str">
        <x:v>Функциональное</x:v>
      </x:c>
      <x:c r="H126" s="51" t="str">
        <x:v>Да</x:v>
      </x:c>
      <x:c r="I126" s="51" t="str">
        <x:v>Не выполнено</x:v>
      </x:c>
      <x:c r="J126" s="52" t="str"/>
    </x:row>
    <x:row r="127" ht="42" customHeight="1">
      <x:c r="A127" s="50" t="str">
        <x:v>CL-124</x:v>
      </x:c>
      <x:c r="B127" s="51" t="str">
        <x:v>Достижения</x:v>
      </x:c>
      <x:c r="C127" s="51" t="str">
        <x:v>Получение награды увеличивает баланс</x:v>
      </x:c>
      <x:c r="D127" s="51" t="str">
        <x:v>Приложение открыто через локальный HTTP-сервер; localStorage очищен, если не указано иное.</x:v>
      </x:c>
      <x:c r="E127" s="51" t="str">
        <x:v>Начисляется указанное число монет один раз.</x:v>
      </x:c>
      <x:c r="F127" s="51" t="str">
        <x:v>P0</x:v>
      </x:c>
      <x:c r="G127" s="51" t="str">
        <x:v>Функциональное</x:v>
      </x:c>
      <x:c r="H127" s="51" t="str">
        <x:v>Нет</x:v>
      </x:c>
      <x:c r="I127" s="51" t="str">
        <x:v>Не выполнено</x:v>
      </x:c>
      <x:c r="J127" s="52" t="str"/>
    </x:row>
    <x:row r="128" ht="42" customHeight="1">
      <x:c r="A128" s="50" t="str">
        <x:v>CL-125</x:v>
      </x:c>
      <x:c r="B128" s="51" t="str">
        <x:v>Достижения</x:v>
      </x:c>
      <x:c r="C128" s="51" t="str">
        <x:v>Повторное получение одной награды невозможно</x:v>
      </x:c>
      <x:c r="D128" s="51" t="str">
        <x:v>Приложение открыто через локальный HTTP-сервер; localStorage очищен, если не указано иное.</x:v>
      </x:c>
      <x:c r="E128" s="51" t="str">
        <x:v>Кнопка claim становится недоступной.</x:v>
      </x:c>
      <x:c r="F128" s="51" t="str">
        <x:v>P0</x:v>
      </x:c>
      <x:c r="G128" s="51" t="str">
        <x:v>Негативное</x:v>
      </x:c>
      <x:c r="H128" s="51" t="str">
        <x:v>Нет</x:v>
      </x:c>
      <x:c r="I128" s="51" t="str">
        <x:v>Не выполнено</x:v>
      </x:c>
      <x:c r="J128" s="52" t="str"/>
    </x:row>
    <x:row r="129" ht="42" customHeight="1">
      <x:c r="A129" s="50" t="str">
        <x:v>CL-126</x:v>
      </x:c>
      <x:c r="B129" s="51" t="str">
        <x:v>Достижения</x:v>
      </x:c>
      <x:c r="C129" s="51" t="str">
        <x:v>Следующий этап серии открывается после claim предыдущего</x:v>
      </x:c>
      <x:c r="D129" s="51" t="str">
        <x:v>Приложение открыто через локальный HTTP-сервер; localStorage очищен, если не указано иное.</x:v>
      </x:c>
      <x:c r="E129" s="51" t="str">
        <x:v>currentStepIndex продвигается корректно.</x:v>
      </x:c>
      <x:c r="F129" s="51" t="str">
        <x:v>P1</x:v>
      </x:c>
      <x:c r="G129" s="51" t="str">
        <x:v>Переходы состояний</x:v>
      </x:c>
      <x:c r="H129" s="51" t="str">
        <x:v>Нет</x:v>
      </x:c>
      <x:c r="I129" s="51" t="str">
        <x:v>Не выполнено</x:v>
      </x:c>
      <x:c r="J129" s="52" t="str"/>
    </x:row>
    <x:row r="130" ht="42" customHeight="1">
      <x:c r="A130" s="50" t="str">
        <x:v>CL-127</x:v>
      </x:c>
      <x:c r="B130" s="51" t="str">
        <x:v>Достижения</x:v>
      </x:c>
      <x:c r="C130" s="51" t="str">
        <x:v>Общий процент соответствует завершённым сериям/этапам</x:v>
      </x:c>
      <x:c r="D130" s="51" t="str">
        <x:v>Приложение открыто через локальный HTTP-сервер; localStorage очищен, если не указано иное.</x:v>
      </x:c>
      <x:c r="E130" s="51" t="str">
        <x:v>Нет значений меньше 0 или больше 100%.</x:v>
      </x:c>
      <x:c r="F130" s="51" t="str">
        <x:v>P2</x:v>
      </x:c>
      <x:c r="G130" s="51" t="str">
        <x:v>Расчёты</x:v>
      </x:c>
      <x:c r="H130" s="51" t="str">
        <x:v>Нет</x:v>
      </x:c>
      <x:c r="I130" s="51" t="str">
        <x:v>Не выполнено</x:v>
      </x:c>
      <x:c r="J130" s="52" t="str"/>
    </x:row>
    <x:row r="131" ht="42" customHeight="1">
      <x:c r="A131" s="50" t="str">
        <x:v>CL-128</x:v>
      </x:c>
      <x:c r="B131" s="51" t="str">
        <x:v>Достижения</x:v>
      </x:c>
      <x:c r="C131" s="51" t="str">
        <x:v>Условия click/coins/robots/level считаются от корректных метрик</x:v>
      </x:c>
      <x:c r="D131" s="51" t="str">
        <x:v>Приложение открыто через локальный HTTP-сервер; localStorage очищен, если не указано иное.</x:v>
      </x:c>
      <x:c r="E131" s="51" t="str">
        <x:v>Прогресс совпадает со статистикой.</x:v>
      </x:c>
      <x:c r="F131" s="51" t="str">
        <x:v>P1</x:v>
      </x:c>
      <x:c r="G131" s="51" t="str">
        <x:v>Интеграционное</x:v>
      </x:c>
      <x:c r="H131" s="51" t="str">
        <x:v>Нет</x:v>
      </x:c>
      <x:c r="I131" s="51" t="str">
        <x:v>Не выполнено</x:v>
      </x:c>
      <x:c r="J131" s="52" t="str"/>
    </x:row>
    <x:row r="132" ht="42" customHeight="1">
      <x:c r="A132" s="50" t="str">
        <x:v>CL-129</x:v>
      </x:c>
      <x:c r="B132" s="51" t="str">
        <x:v>Достижения</x:v>
      </x:c>
      <x:c r="C132" s="51" t="str">
        <x:v>Условие «Надень 5 редких скинов подряд» отслеживает именно последовательность</x:v>
      </x:c>
      <x:c r="D132" s="51" t="str">
        <x:v>Приложение открыто через локальный HTTP-сервер; localStorage очищен, если не указано иное.</x:v>
      </x:c>
      <x:c r="E132" s="51" t="str">
        <x:v>Покупка любых скинов не открывает достижение.</x:v>
      </x:c>
      <x:c r="F132" s="51" t="str">
        <x:v>P1</x:v>
      </x:c>
      <x:c r="G132" s="51" t="str">
        <x:v>Требования</x:v>
      </x:c>
      <x:c r="H132" s="51" t="str">
        <x:v>Нет</x:v>
      </x:c>
      <x:c r="I132" s="51" t="str">
        <x:v>Не выполнено</x:v>
      </x:c>
      <x:c r="J132" s="52" t="str"/>
    </x:row>
    <x:row r="133" ht="42" customHeight="1">
      <x:c r="A133" s="50" t="str">
        <x:v>CL-130</x:v>
      </x:c>
      <x:c r="B133" s="51" t="str">
        <x:v>Достижения</x:v>
      </x:c>
      <x:c r="C133" s="51" t="str">
        <x:v>Условие «Все ультра-редкие скины» проверяет конкретную редкость</x:v>
      </x:c>
      <x:c r="D133" s="51" t="str">
        <x:v>Приложение открыто через локальный HTTP-сервер; localStorage очищен, если не указано иное.</x:v>
      </x:c>
      <x:c r="E133" s="51" t="str">
        <x:v>Открывается только после владения всеми ultra.</x:v>
      </x:c>
      <x:c r="F133" s="51" t="str">
        <x:v>P1</x:v>
      </x:c>
      <x:c r="G133" s="51" t="str">
        <x:v>Требования</x:v>
      </x:c>
      <x:c r="H133" s="51" t="str">
        <x:v>Нет</x:v>
      </x:c>
      <x:c r="I133" s="51" t="str">
        <x:v>Не выполнено</x:v>
      </x:c>
      <x:c r="J133" s="52" t="str"/>
    </x:row>
    <x:row r="134" ht="42" customHeight="1">
      <x:c r="A134" s="50" t="str">
        <x:v>CL-131</x:v>
      </x:c>
      <x:c r="B134" s="51" t="str">
        <x:v>Достижения</x:v>
      </x:c>
      <x:c r="C134" s="51" t="str">
        <x:v>Условие «Все типы бустов» учитывает 12 конкретных типов</x:v>
      </x:c>
      <x:c r="D134" s="51" t="str">
        <x:v>Приложение открыто через локальный HTTP-сервер; localStorage очищен, если не указано иное.</x:v>
      </x:c>
      <x:c r="E134" s="51" t="str">
        <x:v>Трёх категорий недостаточно.</x:v>
      </x:c>
      <x:c r="F134" s="51" t="str">
        <x:v>P1</x:v>
      </x:c>
      <x:c r="G134" s="51" t="str">
        <x:v>Требования</x:v>
      </x:c>
      <x:c r="H134" s="51" t="str">
        <x:v>Нет</x:v>
      </x:c>
      <x:c r="I134" s="51" t="str">
        <x:v>Не выполнено</x:v>
      </x:c>
      <x:c r="J134" s="52" t="str"/>
    </x:row>
    <x:row r="135" ht="42" customHeight="1">
      <x:c r="A135" s="50" t="str">
        <x:v>CL-132</x:v>
      </x:c>
      <x:c r="B135" s="51" t="str">
        <x:v>Достижения</x:v>
      </x:c>
      <x:c r="C135" s="51" t="str">
        <x:v>Постоянные бонусы применяются один раз</x:v>
      </x:c>
      <x:c r="D135" s="51" t="str">
        <x:v>Приложение открыто через локальный HTTP-сервер; localStorage очищен, если не указано иное.</x:v>
      </x:c>
      <x:c r="E135" s="51" t="str">
        <x:v>Повторная загрузка не умножает эффект повторно.</x:v>
      </x:c>
      <x:c r="F135" s="51" t="str">
        <x:v>P0</x:v>
      </x:c>
      <x:c r="G135" s="51" t="str">
        <x:v>Сохранение</x:v>
      </x:c>
      <x:c r="H135" s="51" t="str">
        <x:v>Нет</x:v>
      </x:c>
      <x:c r="I135" s="51" t="str">
        <x:v>Не выполнено</x:v>
      </x:c>
      <x:c r="J135" s="52" t="str"/>
    </x:row>
    <x:row r="136" ht="42" customHeight="1">
      <x:c r="A136" s="50" t="str">
        <x:v>CL-133</x:v>
      </x:c>
      <x:c r="B136" s="51" t="str">
        <x:v>Достижения</x:v>
      </x:c>
      <x:c r="C136" s="51" t="str">
        <x:v>Состояние unlocked/claimed сохраняется</x:v>
      </x:c>
      <x:c r="D136" s="51" t="str">
        <x:v>Приложение открыто через локальный HTTP-сервер; localStorage очищен, если не указано иное.</x:v>
      </x:c>
      <x:c r="E136" s="51" t="str">
        <x:v>После reload прогресс и награды не теряются.</x:v>
      </x:c>
      <x:c r="F136" s="51" t="str">
        <x:v>P1</x:v>
      </x:c>
      <x:c r="G136" s="51" t="str">
        <x:v>Сохранение</x:v>
      </x:c>
      <x:c r="H136" s="51" t="str">
        <x:v>Нет</x:v>
      </x:c>
      <x:c r="I136" s="51" t="str">
        <x:v>Не выполнено</x:v>
      </x:c>
      <x:c r="J136" s="52" t="str"/>
    </x:row>
    <x:row r="137" ht="42" customHeight="1">
      <x:c r="A137" s="50" t="str">
        <x:v>CL-134</x:v>
      </x:c>
      <x:c r="B137" s="51" t="str">
        <x:v>Достижения</x:v>
      </x:c>
      <x:c r="C137" s="51" t="str">
        <x:v>Новая награда подсвечивает кнопку, но не мешает клику</x:v>
      </x:c>
      <x:c r="D137" s="51" t="str">
        <x:v>Приложение открыто через локальный HTTP-сервер; localStorage очищен, если не указано иное.</x:v>
      </x:c>
      <x:c r="E137" s="51" t="str">
        <x:v>Анимация не делает элемент постоянно нестабильным.</x:v>
      </x:c>
      <x:c r="F137" s="51" t="str">
        <x:v>P2</x:v>
      </x:c>
      <x:c r="G137" s="51" t="str">
        <x:v>UX</x:v>
      </x:c>
      <x:c r="H137" s="51" t="str">
        <x:v>Нет</x:v>
      </x:c>
      <x:c r="I137" s="51" t="str">
        <x:v>Не выполнено</x:v>
      </x:c>
      <x:c r="J137" s="52" t="str"/>
    </x:row>
    <x:row r="138" ht="42" customHeight="1">
      <x:c r="A138" s="50" t="str">
        <x:v>CL-135</x:v>
      </x:c>
      <x:c r="B138" s="51" t="str">
        <x:v>Статистика</x:v>
      </x:c>
      <x:c r="C138" s="51" t="str">
        <x:v>Открывается экран статистики</x:v>
      </x:c>
      <x:c r="D138" s="51" t="str">
        <x:v>Приложение открыто через локальный HTTP-сервер; localStorage очищен, если не указано иное.</x:v>
      </x:c>
      <x:c r="E138" s="51" t="str">
        <x:v>Показаны все тематические разделы.</x:v>
      </x:c>
      <x:c r="F138" s="51" t="str">
        <x:v>P1</x:v>
      </x:c>
      <x:c r="G138" s="51" t="str">
        <x:v>Функциональное</x:v>
      </x:c>
      <x:c r="H138" s="51" t="str">
        <x:v>Да</x:v>
      </x:c>
      <x:c r="I138" s="51" t="str">
        <x:v>Не выполнено</x:v>
      </x:c>
      <x:c r="J138" s="52" t="str"/>
    </x:row>
    <x:row r="139" ht="42" customHeight="1">
      <x:c r="A139" s="50" t="str">
        <x:v>CL-136</x:v>
      </x:c>
      <x:c r="B139" s="51" t="str">
        <x:v>Статистика</x:v>
      </x:c>
      <x:c r="C139" s="51" t="str">
        <x:v>Монеты сейчас совпадают с верхним счётчиком</x:v>
      </x:c>
      <x:c r="D139" s="51" t="str">
        <x:v>Приложение открыто через локальный HTTP-сервер; localStorage очищен, если не указано иное.</x:v>
      </x:c>
      <x:c r="E139" s="51" t="str">
        <x:v>Значения идентичны.</x:v>
      </x:c>
      <x:c r="F139" s="51" t="str">
        <x:v>P0</x:v>
      </x:c>
      <x:c r="G139" s="51" t="str">
        <x:v>Интеграционное</x:v>
      </x:c>
      <x:c r="H139" s="51" t="str">
        <x:v>Да</x:v>
      </x:c>
      <x:c r="I139" s="51" t="str">
        <x:v>Не выполнено</x:v>
      </x:c>
      <x:c r="J139" s="52" t="str"/>
    </x:row>
    <x:row r="140" ht="42" customHeight="1">
      <x:c r="A140" s="50" t="str">
        <x:v>CL-137</x:v>
      </x:c>
      <x:c r="B140" s="51" t="str">
        <x:v>Статистика</x:v>
      </x:c>
      <x:c r="C140" s="51" t="str">
        <x:v>Всего кликов увеличивается после каждого клика</x:v>
      </x:c>
      <x:c r="D140" s="51" t="str">
        <x:v>Приложение открыто через локальный HTTP-сервер; localStorage очищен, если не указано иное.</x:v>
      </x:c>
      <x:c r="E140" s="51" t="str">
        <x:v>Метрика соответствует фактическому числу кликов.</x:v>
      </x:c>
      <x:c r="F140" s="51" t="str">
        <x:v>P1</x:v>
      </x:c>
      <x:c r="G140" s="51" t="str">
        <x:v>Интеграционное</x:v>
      </x:c>
      <x:c r="H140" s="51" t="str">
        <x:v>Да</x:v>
      </x:c>
      <x:c r="I140" s="51" t="str">
        <x:v>Не выполнено</x:v>
      </x:c>
      <x:c r="J140" s="52" t="str"/>
    </x:row>
    <x:row r="141" ht="42" customHeight="1">
      <x:c r="A141" s="50" t="str">
        <x:v>CL-138</x:v>
      </x:c>
      <x:c r="B141" s="51" t="str">
        <x:v>Статистика</x:v>
      </x:c>
      <x:c r="C141" s="51" t="str">
        <x:v>Всего заработано не уменьшается при покупках</x:v>
      </x:c>
      <x:c r="D141" s="51" t="str">
        <x:v>Приложение открыто через локальный HTTP-сервер; localStorage очищен, если не указано иное.</x:v>
      </x:c>
      <x:c r="E141" s="51" t="str">
        <x:v>Метрика отражает начисления, а не текущий баланс.</x:v>
      </x:c>
      <x:c r="F141" s="51" t="str">
        <x:v>P1</x:v>
      </x:c>
      <x:c r="G141" s="51" t="str">
        <x:v>Интеграционное</x:v>
      </x:c>
      <x:c r="H141" s="51" t="str">
        <x:v>Нет</x:v>
      </x:c>
      <x:c r="I141" s="51" t="str">
        <x:v>Не выполнено</x:v>
      </x:c>
      <x:c r="J141" s="52" t="str"/>
    </x:row>
    <x:row r="142" ht="42" customHeight="1">
      <x:c r="A142" s="50" t="str">
        <x:v>CL-139</x:v>
      </x:c>
      <x:c r="B142" s="51" t="str">
        <x:v>Статистика</x:v>
      </x:c>
      <x:c r="C142" s="51" t="str">
        <x:v>Базовая и эффективная сила клика различаются при бустах</x:v>
      </x:c>
      <x:c r="D142" s="51" t="str">
        <x:v>Приложение открыто через локальный HTTP-сервер; localStorage очищен, если не указано иное.</x:v>
      </x:c>
      <x:c r="E142" s="51" t="str">
        <x:v>Обе метрики рассчитаны корректно.</x:v>
      </x:c>
      <x:c r="F142" s="51" t="str">
        <x:v>P1</x:v>
      </x:c>
      <x:c r="G142" s="51" t="str">
        <x:v>Расчёты</x:v>
      </x:c>
      <x:c r="H142" s="51" t="str">
        <x:v>Нет</x:v>
      </x:c>
      <x:c r="I142" s="51" t="str">
        <x:v>Не выполнено</x:v>
      </x:c>
      <x:c r="J142" s="52" t="str"/>
    </x:row>
    <x:row r="143" ht="42" customHeight="1">
      <x:c r="A143" s="50" t="str">
        <x:v>CL-140</x:v>
      </x:c>
      <x:c r="B143" s="51" t="str">
        <x:v>Статистика</x:v>
      </x:c>
      <x:c r="C143" s="51" t="str">
        <x:v>Прогресс уровня и остаток согласованы</x:v>
      </x:c>
      <x:c r="D143" s="51" t="str">
        <x:v>Приложение открыто через локальный HTTP-сервер; localStorage очищен, если не указано иное.</x:v>
      </x:c>
      <x:c r="E143" s="51" t="str">
        <x:v>progress + remaining = required.</x:v>
      </x:c>
      <x:c r="F143" s="51" t="str">
        <x:v>P1</x:v>
      </x:c>
      <x:c r="G143" s="51" t="str">
        <x:v>Расчёты</x:v>
      </x:c>
      <x:c r="H143" s="51" t="str">
        <x:v>Нет</x:v>
      </x:c>
      <x:c r="I143" s="51" t="str">
        <x:v>Не выполнено</x:v>
      </x:c>
      <x:c r="J143" s="52" t="str"/>
    </x:row>
    <x:row r="144" ht="42" customHeight="1">
      <x:c r="A144" s="50" t="str">
        <x:v>CL-141</x:v>
      </x:c>
      <x:c r="B144" s="51" t="str">
        <x:v>Статистика</x:v>
      </x:c>
      <x:c r="C144" s="51" t="str">
        <x:v>Статистика роботов совпадает с покупками</x:v>
      </x:c>
      <x:c r="D144" s="51" t="str">
        <x:v>Приложение открыто через локальный HTTP-сервер; localStorage очищен, если не указано иное.</x:v>
      </x:c>
      <x:c r="E144" s="51" t="str">
        <x:v>count/base/effective income корректны.</x:v>
      </x:c>
      <x:c r="F144" s="51" t="str">
        <x:v>P1</x:v>
      </x:c>
      <x:c r="G144" s="51" t="str">
        <x:v>Интеграционное</x:v>
      </x:c>
      <x:c r="H144" s="51" t="str">
        <x:v>Нет</x:v>
      </x:c>
      <x:c r="I144" s="51" t="str">
        <x:v>Не выполнено</x:v>
      </x:c>
      <x:c r="J144" s="52" t="str"/>
    </x:row>
    <x:row r="145" ht="42" customHeight="1">
      <x:c r="A145" s="50" t="str">
        <x:v>CL-142</x:v>
      </x:c>
      <x:c r="B145" s="51" t="str">
        <x:v>Статистика</x:v>
      </x:c>
      <x:c r="C145" s="51" t="str">
        <x:v>Статистика скинов совпадает с owned/selected</x:v>
      </x:c>
      <x:c r="D145" s="51" t="str">
        <x:v>Приложение открыто через локальный HTTP-сервер; localStorage очищен, если не указано иное.</x:v>
      </x:c>
      <x:c r="E145" s="51" t="str">
        <x:v>Количество и название корректны.</x:v>
      </x:c>
      <x:c r="F145" s="51" t="str">
        <x:v>P1</x:v>
      </x:c>
      <x:c r="G145" s="51" t="str">
        <x:v>Интеграционное</x:v>
      </x:c>
      <x:c r="H145" s="51" t="str">
        <x:v>Нет</x:v>
      </x:c>
      <x:c r="I145" s="51" t="str">
        <x:v>Не выполнено</x:v>
      </x:c>
      <x:c r="J145" s="52" t="str"/>
    </x:row>
    <x:row r="146" ht="42" customHeight="1">
      <x:c r="A146" s="50" t="str">
        <x:v>CL-143</x:v>
      </x:c>
      <x:c r="B146" s="51" t="str">
        <x:v>Статистика</x:v>
      </x:c>
      <x:c r="C146" s="51" t="str">
        <x:v>Статистика бустов учитывает покупки и активные эффекты</x:v>
      </x:c>
      <x:c r="D146" s="51" t="str">
        <x:v>Приложение открыто через локальный HTTP-сервер; localStorage очищен, если не указано иное.</x:v>
      </x:c>
      <x:c r="E146" s="51" t="str">
        <x:v>Нет двойного счёта.</x:v>
      </x:c>
      <x:c r="F146" s="51" t="str">
        <x:v>P1</x:v>
      </x:c>
      <x:c r="G146" s="51" t="str">
        <x:v>Интеграционное</x:v>
      </x:c>
      <x:c r="H146" s="51" t="str">
        <x:v>Нет</x:v>
      </x:c>
      <x:c r="I146" s="51" t="str">
        <x:v>Не выполнено</x:v>
      </x:c>
      <x:c r="J146" s="52" t="str"/>
    </x:row>
    <x:row r="147" ht="42" customHeight="1">
      <x:c r="A147" s="50" t="str">
        <x:v>CL-144</x:v>
      </x:c>
      <x:c r="B147" s="51" t="str">
        <x:v>Статистика</x:v>
      </x:c>
      <x:c r="C147" s="51" t="str">
        <x:v>Статистика достижений понятна пользователю</x:v>
      </x:c>
      <x:c r="D147" s="51" t="str">
        <x:v>Приложение открыто через локальный HTTP-сервер; localStorage очищен, если не указано иное.</x:v>
      </x:c>
      <x:c r="E147" s="51" t="str">
        <x:v>Термин «Система достижений» имеет ясное значение или подсказку.</x:v>
      </x:c>
      <x:c r="F147" s="51" t="str">
        <x:v>P3</x:v>
      </x:c>
      <x:c r="G147" s="51" t="str">
        <x:v>UX</x:v>
      </x:c>
      <x:c r="H147" s="51" t="str">
        <x:v>Нет</x:v>
      </x:c>
      <x:c r="I147" s="51" t="str">
        <x:v>Не выполнено</x:v>
      </x:c>
      <x:c r="J147" s="52" t="str"/>
    </x:row>
    <x:row r="148" ht="42" customHeight="1">
      <x:c r="A148" s="50" t="str">
        <x:v>CL-145</x:v>
      </x:c>
      <x:c r="B148" s="51" t="str">
        <x:v>Сохранение и восстановление</x:v>
      </x:c>
      <x:c r="C148" s="51" t="str">
        <x:v>Баланс сохраняется после reload</x:v>
      </x:c>
      <x:c r="D148" s="51" t="str">
        <x:v>Приложение открыто через локальный HTTP-сервер; localStorage очищен, если не указано иное.</x:v>
      </x:c>
      <x:c r="E148" s="51" t="str">
        <x:v>Отображается последнее значение.</x:v>
      </x:c>
      <x:c r="F148" s="51" t="str">
        <x:v>P0</x:v>
      </x:c>
      <x:c r="G148" s="51" t="str">
        <x:v>Сохранение</x:v>
      </x:c>
      <x:c r="H148" s="51" t="str">
        <x:v>Да</x:v>
      </x:c>
      <x:c r="I148" s="51" t="str">
        <x:v>Не выполнено</x:v>
      </x:c>
      <x:c r="J148" s="52" t="str"/>
    </x:row>
    <x:row r="149" ht="42" customHeight="1">
      <x:c r="A149" s="50" t="str">
        <x:v>CL-146</x:v>
      </x:c>
      <x:c r="B149" s="51" t="str">
        <x:v>Сохранение и восстановление</x:v>
      </x:c>
      <x:c r="C149" s="51" t="str">
        <x:v>Сила клика и цена улучшения сохраняются</x:v>
      </x:c>
      <x:c r="D149" s="51" t="str">
        <x:v>Приложение открыто через локальный HTTP-сервер; localStorage очищен, если не указано иное.</x:v>
      </x:c>
      <x:c r="E149" s="51" t="str">
        <x:v>Покупки не теряются.</x:v>
      </x:c>
      <x:c r="F149" s="51" t="str">
        <x:v>P0</x:v>
      </x:c>
      <x:c r="G149" s="51" t="str">
        <x:v>Сохранение</x:v>
      </x:c>
      <x:c r="H149" s="51" t="str">
        <x:v>Да</x:v>
      </x:c>
      <x:c r="I149" s="51" t="str">
        <x:v>Не выполнено</x:v>
      </x:c>
      <x:c r="J149" s="52" t="str"/>
    </x:row>
    <x:row r="150" ht="42" customHeight="1">
      <x:c r="A150" s="50" t="str">
        <x:v>CL-147</x:v>
      </x:c>
      <x:c r="B150" s="51" t="str">
        <x:v>Сохранение и восстановление</x:v>
      </x:c>
      <x:c r="C150" s="51" t="str">
        <x:v>Роботы, цена и доход сохраняются</x:v>
      </x:c>
      <x:c r="D150" s="51" t="str">
        <x:v>Приложение открыто через локальный HTTP-сервер; localStorage очищен, если не указано иное.</x:v>
      </x:c>
      <x:c r="E150" s="51" t="str">
        <x:v>Автодоход продолжается без дублирования таймера.</x:v>
      </x:c>
      <x:c r="F150" s="51" t="str">
        <x:v>P0</x:v>
      </x:c>
      <x:c r="G150" s="51" t="str">
        <x:v>Сохранение</x:v>
      </x:c>
      <x:c r="H150" s="51" t="str">
        <x:v>Нет</x:v>
      </x:c>
      <x:c r="I150" s="51" t="str">
        <x:v>Не выполнено</x:v>
      </x:c>
      <x:c r="J150" s="52" t="str"/>
    </x:row>
    <x:row r="151" ht="42" customHeight="1">
      <x:c r="A151" s="50" t="str">
        <x:v>CL-148</x:v>
      </x:c>
      <x:c r="B151" s="51" t="str">
        <x:v>Сохранение и восстановление</x:v>
      </x:c>
      <x:c r="C151" s="51" t="str">
        <x:v>Уровень и levelClicks сохраняются</x:v>
      </x:c>
      <x:c r="D151" s="51" t="str">
        <x:v>Приложение открыто через локальный HTTP-сервер; localStorage очищен, если не указано иное.</x:v>
      </x:c>
      <x:c r="E151" s="51" t="str">
        <x:v>Прогресс не сбрасывается.</x:v>
      </x:c>
      <x:c r="F151" s="51" t="str">
        <x:v>P1</x:v>
      </x:c>
      <x:c r="G151" s="51" t="str">
        <x:v>Сохранение</x:v>
      </x:c>
      <x:c r="H151" s="51" t="str">
        <x:v>Нет</x:v>
      </x:c>
      <x:c r="I151" s="51" t="str">
        <x:v>Не выполнено</x:v>
      </x:c>
      <x:c r="J151" s="52" t="str"/>
    </x:row>
    <x:row r="152" ht="42" customHeight="1">
      <x:c r="A152" s="50" t="str">
        <x:v>CL-149</x:v>
      </x:c>
      <x:c r="B152" s="51" t="str">
        <x:v>Сохранение и восстановление</x:v>
      </x:c>
      <x:c r="C152" s="51" t="str">
        <x:v>Скины сохраняются</x:v>
      </x:c>
      <x:c r="D152" s="51" t="str">
        <x:v>Приложение открыто через локальный HTTP-сервер; localStorage очищен, если не указано иное.</x:v>
      </x:c>
      <x:c r="E152" s="51" t="str">
        <x:v>owned и selected восстановлены.</x:v>
      </x:c>
      <x:c r="F152" s="51" t="str">
        <x:v>P1</x:v>
      </x:c>
      <x:c r="G152" s="51" t="str">
        <x:v>Сохранение</x:v>
      </x:c>
      <x:c r="H152" s="51" t="str">
        <x:v>Нет</x:v>
      </x:c>
      <x:c r="I152" s="51" t="str">
        <x:v>Не выполнено</x:v>
      </x:c>
      <x:c r="J152" s="52" t="str"/>
    </x:row>
    <x:row r="153" ht="42" customHeight="1">
      <x:c r="A153" s="50" t="str">
        <x:v>CL-150</x:v>
      </x:c>
      <x:c r="B153" s="51" t="str">
        <x:v>Сохранение и восстановление</x:v>
      </x:c>
      <x:c r="C153" s="51" t="str">
        <x:v>Бусты сохраняются</x:v>
      </x:c>
      <x:c r="D153" s="51" t="str">
        <x:v>Приложение открыто через локальный HTTP-сервер; localStorage очищен, если не указано иное.</x:v>
      </x:c>
      <x:c r="E153" s="51" t="str">
        <x:v>Цены, уровни и активное время восстановлены.</x:v>
      </x:c>
      <x:c r="F153" s="51" t="str">
        <x:v>P1</x:v>
      </x:c>
      <x:c r="G153" s="51" t="str">
        <x:v>Сохранение</x:v>
      </x:c>
      <x:c r="H153" s="51" t="str">
        <x:v>Нет</x:v>
      </x:c>
      <x:c r="I153" s="51" t="str">
        <x:v>Не выполнено</x:v>
      </x:c>
      <x:c r="J153" s="52" t="str"/>
    </x:row>
    <x:row r="154" ht="42" customHeight="1">
      <x:c r="A154" s="50" t="str">
        <x:v>CL-151</x:v>
      </x:c>
      <x:c r="B154" s="51" t="str">
        <x:v>Сохранение и восстановление</x:v>
      </x:c>
      <x:c r="C154" s="51" t="str">
        <x:v>Достижения сохраняются</x:v>
      </x:c>
      <x:c r="D154" s="51" t="str">
        <x:v>Приложение открыто через локальный HTTP-сервер; localStorage очищен, если не указано иное.</x:v>
      </x:c>
      <x:c r="E154" s="51" t="str">
        <x:v>claimed/unlocked/series index восстановлены.</x:v>
      </x:c>
      <x:c r="F154" s="51" t="str">
        <x:v>P1</x:v>
      </x:c>
      <x:c r="G154" s="51" t="str">
        <x:v>Сохранение</x:v>
      </x:c>
      <x:c r="H154" s="51" t="str">
        <x:v>Нет</x:v>
      </x:c>
      <x:c r="I154" s="51" t="str">
        <x:v>Не выполнено</x:v>
      </x:c>
      <x:c r="J154" s="52" t="str"/>
    </x:row>
    <x:row r="155" ht="42" customHeight="1">
      <x:c r="A155" s="50" t="str">
        <x:v>CL-152</x:v>
      </x:c>
      <x:c r="B155" s="51" t="str">
        <x:v>Сохранение и восстановление</x:v>
      </x:c>
      <x:c r="C155" s="51" t="str">
        <x:v>Настройки сохраняются независимо от прогресса</x:v>
      </x:c>
      <x:c r="D155" s="51" t="str">
        <x:v>Приложение открыто через локальный HTTP-сервер; localStorage очищен, если не указано иное.</x:v>
      </x:c>
      <x:c r="E155" s="51" t="str">
        <x:v>Тема, звук и яркость восстановлены.</x:v>
      </x:c>
      <x:c r="F155" s="51" t="str">
        <x:v>P2</x:v>
      </x:c>
      <x:c r="G155" s="51" t="str">
        <x:v>Сохранение</x:v>
      </x:c>
      <x:c r="H155" s="51" t="str">
        <x:v>Нет</x:v>
      </x:c>
      <x:c r="I155" s="51" t="str">
        <x:v>Не выполнено</x:v>
      </x:c>
      <x:c r="J155" s="52" t="str"/>
    </x:row>
    <x:row r="156" ht="42" customHeight="1">
      <x:c r="A156" s="50" t="str">
        <x:v>CL-153</x:v>
      </x:c>
      <x:c r="B156" s="51" t="str">
        <x:v>Сохранение и восстановление</x:v>
      </x:c>
      <x:c r="C156" s="51" t="str">
        <x:v>Повреждённый JSON скинов не ломает загрузку</x:v>
      </x:c>
      <x:c r="D156" s="51" t="str">
        <x:v>Приложение открыто через локальный HTTP-сервер; localStorage очищен, если не указано иное.</x:v>
      </x:c>
      <x:c r="E156" s="51" t="str">
        <x:v>Используется безопасное начальное состояние.</x:v>
      </x:c>
      <x:c r="F156" s="51" t="str">
        <x:v>P1</x:v>
      </x:c>
      <x:c r="G156" s="51" t="str">
        <x:v>Негативное</x:v>
      </x:c>
      <x:c r="H156" s="51" t="str">
        <x:v>Нет</x:v>
      </x:c>
      <x:c r="I156" s="51" t="str">
        <x:v>Не выполнено</x:v>
      </x:c>
      <x:c r="J156" s="52" t="str"/>
    </x:row>
    <x:row r="157" ht="42" customHeight="1">
      <x:c r="A157" s="50" t="str">
        <x:v>CL-154</x:v>
      </x:c>
      <x:c r="B157" s="51" t="str">
        <x:v>Сохранение и восстановление</x:v>
      </x:c>
      <x:c r="C157" s="51" t="str">
        <x:v>Повреждённый JSON бустов не ломает загрузку</x:v>
      </x:c>
      <x:c r="D157" s="51" t="str">
        <x:v>Приложение открыто через локальный HTTP-сервер; localStorage очищен, если не указано иное.</x:v>
      </x:c>
      <x:c r="E157" s="51" t="str">
        <x:v>Игра продолжает запускаться.</x:v>
      </x:c>
      <x:c r="F157" s="51" t="str">
        <x:v>P1</x:v>
      </x:c>
      <x:c r="G157" s="51" t="str">
        <x:v>Негативное</x:v>
      </x:c>
      <x:c r="H157" s="51" t="str">
        <x:v>Нет</x:v>
      </x:c>
      <x:c r="I157" s="51" t="str">
        <x:v>Не выполнено</x:v>
      </x:c>
      <x:c r="J157" s="52" t="str"/>
    </x:row>
    <x:row r="158" ht="42" customHeight="1">
      <x:c r="A158" s="50" t="str">
        <x:v>CL-155</x:v>
      </x:c>
      <x:c r="B158" s="51" t="str">
        <x:v>Сохранение и восстановление</x:v>
      </x:c>
      <x:c r="C158" s="51" t="str">
        <x:v>Отрицательные coins нормализуются к 0</x:v>
      </x:c>
      <x:c r="D158" s="51" t="str">
        <x:v>Приложение открыто через локальный HTTP-сервер; localStorage очищен, если не указано иное.</x:v>
      </x:c>
      <x:c r="E158" s="51" t="str">
        <x:v>Нет отрицательного баланса.</x:v>
      </x:c>
      <x:c r="F158" s="51" t="str">
        <x:v>P1</x:v>
      </x:c>
      <x:c r="G158" s="51" t="str">
        <x:v>Негативное</x:v>
      </x:c>
      <x:c r="H158" s="51" t="str">
        <x:v>Нет</x:v>
      </x:c>
      <x:c r="I158" s="51" t="str">
        <x:v>Не выполнено</x:v>
      </x:c>
      <x:c r="J158" s="52" t="str"/>
    </x:row>
    <x:row r="159" ht="42" customHeight="1">
      <x:c r="A159" s="50" t="str">
        <x:v>CL-156</x:v>
      </x:c>
      <x:c r="B159" s="51" t="str">
        <x:v>Сохранение и восстановление</x:v>
      </x:c>
      <x:c r="C159" s="51" t="str">
        <x:v>Некорректный clickPower нормализуется минимум к 1</x:v>
      </x:c>
      <x:c r="D159" s="51" t="str">
        <x:v>Приложение открыто через локальный HTTP-сервер; localStorage очищен, если не указано иное.</x:v>
      </x:c>
      <x:c r="E159" s="51" t="str">
        <x:v>Кликер остаётся работоспособным.</x:v>
      </x:c>
      <x:c r="F159" s="51" t="str">
        <x:v>P1</x:v>
      </x:c>
      <x:c r="G159" s="51" t="str">
        <x:v>Негативное</x:v>
      </x:c>
      <x:c r="H159" s="51" t="str">
        <x:v>Нет</x:v>
      </x:c>
      <x:c r="I159" s="51" t="str">
        <x:v>Не выполнено</x:v>
      </x:c>
      <x:c r="J159" s="52" t="str"/>
    </x:row>
    <x:row r="160" ht="42" customHeight="1">
      <x:c r="A160" s="50" t="str">
        <x:v>CL-157</x:v>
      </x:c>
      <x:c r="B160" s="51" t="str">
        <x:v>Сохранение и восстановление</x:v>
      </x:c>
      <x:c r="C160" s="51" t="str">
        <x:v>Сброс удаляет только игровые ключи</x:v>
      </x:c>
      <x:c r="D160" s="51" t="str">
        <x:v>Приложение открыто через локальный HTTP-сервер; localStorage очищен, если не указано иное.</x:v>
      </x:c>
      <x:c r="E160" s="51" t="str">
        <x:v>Чужие localStorage-данные не удаляются.</x:v>
      </x:c>
      <x:c r="F160" s="51" t="str">
        <x:v>P1</x:v>
      </x:c>
      <x:c r="G160" s="51" t="str">
        <x:v>Безопасность данных</x:v>
      </x:c>
      <x:c r="H160" s="51" t="str">
        <x:v>Нет</x:v>
      </x:c>
      <x:c r="I160" s="51" t="str">
        <x:v>Не выполнено</x:v>
      </x:c>
      <x:c r="J160" s="52" t="str"/>
    </x:row>
    <x:row r="161" ht="42" customHeight="1">
      <x:c r="A161" s="50" t="str">
        <x:v>CL-158</x:v>
      </x:c>
      <x:c r="B161" s="51" t="str">
        <x:v>Сохранение и восстановление</x:v>
      </x:c>
      <x:c r="C161" s="51" t="str">
        <x:v>beforeunload сохраняет состояние</x:v>
      </x:c>
      <x:c r="D161" s="51" t="str">
        <x:v>Приложение открыто через локальный HTTP-сервер; localStorage очищен, если не указано иное.</x:v>
      </x:c>
      <x:c r="E161" s="51" t="str">
        <x:v>Последние действия не теряются.</x:v>
      </x:c>
      <x:c r="F161" s="51" t="str">
        <x:v>P2</x:v>
      </x:c>
      <x:c r="G161" s="51" t="str">
        <x:v>Сохранение</x:v>
      </x:c>
      <x:c r="H161" s="51" t="str">
        <x:v>Нет</x:v>
      </x:c>
      <x:c r="I161" s="51" t="str">
        <x:v>Не выполнено</x:v>
      </x:c>
      <x:c r="J161" s="52" t="str"/>
    </x:row>
    <x:row r="162" ht="42" customHeight="1">
      <x:c r="A162" s="50" t="str">
        <x:v>CL-159</x:v>
      </x:c>
      <x:c r="B162" s="51" t="str">
        <x:v>Сохранение и восстановление</x:v>
      </x:c>
      <x:c r="C162" s="51" t="str">
        <x:v>Cloud sync вызывается только для авторизованного игрока</x:v>
      </x:c>
      <x:c r="D162" s="51" t="str">
        <x:v>Приложение открыто через локальный HTTP-сервер; localStorage очищен, если не указано иное.</x:v>
      </x:c>
      <x:c r="E162" s="51" t="str">
        <x:v>Локальный режим не генерирует исключений.</x:v>
      </x:c>
      <x:c r="F162" s="51" t="str">
        <x:v>P1</x:v>
      </x:c>
      <x:c r="G162" s="51" t="str">
        <x:v>Интеграционное</x:v>
      </x:c>
      <x:c r="H162" s="51" t="str">
        <x:v>Нет</x:v>
      </x:c>
      <x:c r="I162" s="51" t="str">
        <x:v>Не выполнено</x:v>
      </x:c>
      <x:c r="J162" s="52" t="str"/>
    </x:row>
    <x:row r="163" ht="42" customHeight="1">
      <x:c r="A163" s="50" t="str">
        <x:v>CL-160</x:v>
      </x:c>
      <x:c r="B163" s="51" t="str">
        <x:v>Реклама и Yandex Games SDK</x:v>
      </x:c>
      <x:c r="C163" s="51" t="str">
        <x:v>SDK инициализируется при наличии window.YaGames</x:v>
      </x:c>
      <x:c r="D163" s="51" t="str">
        <x:v>Приложение открыто через локальный HTTP-сервер; localStorage очищен, если не указано иное.</x:v>
      </x:c>
      <x:c r="E163" s="51" t="str">
        <x:v>Получен ysdk, вызван LoadingAPI.ready.</x:v>
      </x:c>
      <x:c r="F163" s="51" t="str">
        <x:v>P1</x:v>
      </x:c>
      <x:c r="G163" s="51" t="str">
        <x:v>Интеграционное</x:v>
      </x:c>
      <x:c r="H163" s="51" t="str">
        <x:v>Нет</x:v>
      </x:c>
      <x:c r="I163" s="51" t="str">
        <x:v>Не выполнено</x:v>
      </x:c>
      <x:c r="J163" s="52" t="str"/>
    </x:row>
    <x:row r="164" ht="42" customHeight="1">
      <x:c r="A164" s="50" t="str">
        <x:v>CL-161</x:v>
      </x:c>
      <x:c r="B164" s="51" t="str">
        <x:v>Реклама и Yandex Games SDK</x:v>
      </x:c>
      <x:c r="C164" s="51" t="str">
        <x:v>Ошибка SDK не блокирует игру</x:v>
      </x:c>
      <x:c r="D164" s="51" t="str">
        <x:v>Приложение открыто через локальный HTTP-сервер; localStorage очищен, если не указано иное.</x:v>
      </x:c>
      <x:c r="E164" s="51" t="str">
        <x:v>Автоматически используется local mode.</x:v>
      </x:c>
      <x:c r="F164" s="51" t="str">
        <x:v>P0</x:v>
      </x:c>
      <x:c r="G164" s="51" t="str">
        <x:v>Негативное</x:v>
      </x:c>
      <x:c r="H164" s="51" t="str">
        <x:v>Да</x:v>
      </x:c>
      <x:c r="I164" s="51" t="str">
        <x:v>Не выполнено</x:v>
      </x:c>
      <x:c r="J164" s="52" t="str"/>
    </x:row>
    <x:row r="165" ht="42" customHeight="1">
      <x:c r="A165" s="50" t="str">
        <x:v>CL-162</x:v>
      </x:c>
      <x:c r="B165" s="51" t="str">
        <x:v>Реклама и Yandex Games SDK</x:v>
      </x:c>
      <x:c r="C165" s="51" t="str">
        <x:v>GameplayAPI.start вызывается при активной игре</x:v>
      </x:c>
      <x:c r="D165" s="51" t="str">
        <x:v>Приложение открыто через локальный HTTP-сервер; localStorage очищен, если не указано иное.</x:v>
      </x:c>
      <x:c r="E165" s="51" t="str">
        <x:v>Платформа получает корректный сигнал.</x:v>
      </x:c>
      <x:c r="F165" s="51" t="str">
        <x:v>P2</x:v>
      </x:c>
      <x:c r="G165" s="51" t="str">
        <x:v>Интеграционное</x:v>
      </x:c>
      <x:c r="H165" s="51" t="str">
        <x:v>Нет</x:v>
      </x:c>
      <x:c r="I165" s="51" t="str">
        <x:v>Не выполнено</x:v>
      </x:c>
      <x:c r="J165" s="52" t="str"/>
    </x:row>
    <x:row r="166" ht="42" customHeight="1">
      <x:c r="A166" s="50" t="str">
        <x:v>CL-163</x:v>
      </x:c>
      <x:c r="B166" s="51" t="str">
        <x:v>Реклама и Yandex Games SDK</x:v>
      </x:c>
      <x:c r="C166" s="51" t="str">
        <x:v>GameplayAPI.stop вызывается при меню/модалке/blur</x:v>
      </x:c>
      <x:c r="D166" s="51" t="str">
        <x:v>Приложение открыто через локальный HTTP-сервер; localStorage очищен, если не указано иное.</x:v>
      </x:c>
      <x:c r="E166" s="51" t="str">
        <x:v>Платформа получает корректный сигнал паузы.</x:v>
      </x:c>
      <x:c r="F166" s="51" t="str">
        <x:v>P2</x:v>
      </x:c>
      <x:c r="G166" s="51" t="str">
        <x:v>Интеграционное</x:v>
      </x:c>
      <x:c r="H166" s="51" t="str">
        <x:v>Нет</x:v>
      </x:c>
      <x:c r="I166" s="51" t="str">
        <x:v>Не выполнено</x:v>
      </x:c>
      <x:c r="J166" s="52" t="str"/>
    </x:row>
    <x:row r="167" ht="42" customHeight="1">
      <x:c r="A167" s="50" t="str">
        <x:v>CL-164</x:v>
      </x:c>
      <x:c r="B167" s="51" t="str">
        <x:v>Реклама и Yandex Games SDK</x:v>
      </x:c>
      <x:c r="C167" s="51" t="str">
        <x:v>Interstitial не показывается первые 30 секунд</x:v>
      </x:c>
      <x:c r="D167" s="51" t="str">
        <x:v>Приложение открыто через локальный HTTP-сервер; localStorage очищен, если не указано иное.</x:v>
      </x:c>
      <x:c r="E167" s="51" t="str">
        <x:v>До grace period выполняется возврат без рекламы.</x:v>
      </x:c>
      <x:c r="F167" s="51" t="str">
        <x:v>P2</x:v>
      </x:c>
      <x:c r="G167" s="51" t="str">
        <x:v>Бизнес-логика</x:v>
      </x:c>
      <x:c r="H167" s="51" t="str">
        <x:v>Нет</x:v>
      </x:c>
      <x:c r="I167" s="51" t="str">
        <x:v>Не выполнено</x:v>
      </x:c>
      <x:c r="J167" s="52" t="str"/>
    </x:row>
    <x:row r="168" ht="42" customHeight="1">
      <x:c r="A168" s="50" t="str">
        <x:v>CL-165</x:v>
      </x:c>
      <x:c r="B168" s="51" t="str">
        <x:v>Реклама и Yandex Games SDK</x:v>
      </x:c>
      <x:c r="C168" s="51" t="str">
        <x:v>Interstitial не открывается сразу после клика</x:v>
      </x:c>
      <x:c r="D168" s="51" t="str">
        <x:v>Приложение открыто через локальный HTTP-сервер; localStorage очищен, если не указано иное.</x:v>
      </x:c>
      <x:c r="E168" s="51" t="str">
        <x:v>Защитная задержка 280 мс соблюдается.</x:v>
      </x:c>
      <x:c r="F168" s="51" t="str">
        <x:v>P2</x:v>
      </x:c>
      <x:c r="G168" s="51" t="str">
        <x:v>Бизнес-логика</x:v>
      </x:c>
      <x:c r="H168" s="51" t="str">
        <x:v>Нет</x:v>
      </x:c>
      <x:c r="I168" s="51" t="str">
        <x:v>Не выполнено</x:v>
      </x:c>
      <x:c r="J168" s="52" t="str"/>
    </x:row>
    <x:row r="169" ht="42" customHeight="1">
      <x:c r="A169" s="50" t="str">
        <x:v>CL-166</x:v>
      </x:c>
      <x:c r="B169" s="51" t="str">
        <x:v>Реклама и Yandex Games SDK</x:v>
      </x:c>
      <x:c r="C169" s="51" t="str">
        <x:v>При открытии рекламы игра и звук ставятся на паузу</x:v>
      </x:c>
      <x:c r="D169" s="51" t="str">
        <x:v>Приложение открыто через локальный HTTP-сервер; localStorage очищен, если не указано иное.</x:v>
      </x:c>
      <x:c r="E169" s="51" t="str">
        <x:v>Таймер роботов остановлен.</x:v>
      </x:c>
      <x:c r="F169" s="51" t="str">
        <x:v>P1</x:v>
      </x:c>
      <x:c r="G169" s="51" t="str">
        <x:v>Интеграционное</x:v>
      </x:c>
      <x:c r="H169" s="51" t="str">
        <x:v>Нет</x:v>
      </x:c>
      <x:c r="I169" s="51" t="str">
        <x:v>Не выполнено</x:v>
      </x:c>
      <x:c r="J169" s="52" t="str"/>
    </x:row>
    <x:row r="170" ht="42" customHeight="1">
      <x:c r="A170" s="50" t="str">
        <x:v>CL-167</x:v>
      </x:c>
      <x:c r="B170" s="51" t="str">
        <x:v>Реклама и Yandex Games SDK</x:v>
      </x:c>
      <x:c r="C170" s="51" t="str">
        <x:v>После закрытия/ошибки рекламы игра восстанавливается</x:v>
      </x:c>
      <x:c r="D170" s="51" t="str">
        <x:v>Приложение открыто через локальный HTTP-сервер; localStorage очищен, если не указано иное.</x:v>
      </x:c>
      <x:c r="E170" s="51" t="str">
        <x:v>Нет зависшего isAdShowing/isGamePaused.</x:v>
      </x:c>
      <x:c r="F170" s="51" t="str">
        <x:v>P1</x:v>
      </x:c>
      <x:c r="G170" s="51" t="str">
        <x:v>Негативное</x:v>
      </x:c>
      <x:c r="H170" s="51" t="str">
        <x:v>Нет</x:v>
      </x:c>
      <x:c r="I170" s="51" t="str">
        <x:v>Не выполнено</x:v>
      </x:c>
      <x:c r="J170" s="52" t="str"/>
    </x:row>
    <x:row r="171" ht="42" customHeight="1">
      <x:c r="A171" s="50" t="str">
        <x:v>CL-168</x:v>
      </x:c>
      <x:c r="B171" s="51" t="str">
        <x:v>Реклама и Yandex Games SDK</x:v>
      </x:c>
      <x:c r="C171" s="51" t="str">
        <x:v>Rewarded reward выдаётся только в onRewarded</x:v>
      </x:c>
      <x:c r="D171" s="51" t="str">
        <x:v>Приложение открыто через локальный HTTP-сервер; localStorage очищен, если не указано иное.</x:v>
      </x:c>
      <x:c r="E171" s="51" t="str">
        <x:v>Закрытие без просмотра не даёт награду.</x:v>
      </x:c>
      <x:c r="F171" s="51" t="str">
        <x:v>P0</x:v>
      </x:c>
      <x:c r="G171" s="51" t="str">
        <x:v>Бизнес-логика</x:v>
      </x:c>
      <x:c r="H171" s="51" t="str">
        <x:v>Нет</x:v>
      </x:c>
      <x:c r="I171" s="51" t="str">
        <x:v>Не выполнено</x:v>
      </x:c>
      <x:c r="J171" s="52" t="str"/>
    </x:row>
    <x:row r="172" ht="42" customHeight="1">
      <x:c r="A172" s="50" t="str">
        <x:v>CL-169</x:v>
      </x:c>
      <x:c r="B172" s="51" t="str">
        <x:v>Реклама и Yandex Games SDK</x:v>
      </x:c>
      <x:c r="C172" s="51" t="str">
        <x:v>Баннер показывается только в Скинах/Бустах</x:v>
      </x:c>
      <x:c r="D172" s="51" t="str">
        <x:v>Приложение открыто через локальный HTTP-сервер; localStorage очищен, если не указано иное.</x:v>
      </x:c>
      <x:c r="E172" s="51" t="str">
        <x:v>В меню и игре баннер скрыт.</x:v>
      </x:c>
      <x:c r="F172" s="51" t="str">
        <x:v>P2</x:v>
      </x:c>
      <x:c r="G172" s="51" t="str">
        <x:v>Бизнес-логика</x:v>
      </x:c>
      <x:c r="H172" s="51" t="str">
        <x:v>Нет</x:v>
      </x:c>
      <x:c r="I172" s="51" t="str">
        <x:v>Не выполнено</x:v>
      </x:c>
      <x:c r="J172" s="52" t="str"/>
    </x:row>
    <x:row r="173" ht="42" customHeight="1">
      <x:c r="A173" s="50" t="str">
        <x:v>CL-170</x:v>
      </x:c>
      <x:c r="B173" s="51" t="str">
        <x:v>Локализация</x:v>
      </x:c>
      <x:c r="C173" s="51" t="str">
        <x:v>document.lang соответствует выбранному языку</x:v>
      </x:c>
      <x:c r="D173" s="51" t="str">
        <x:v>Приложение открыто через локальный HTTP-сервер; localStorage очищен, если не указано иное.</x:v>
      </x:c>
      <x:c r="E173" s="51" t="str">
        <x:v>ru или en установлен корректно.</x:v>
      </x:c>
      <x:c r="F173" s="51" t="str">
        <x:v>P2</x:v>
      </x:c>
      <x:c r="G173" s="51" t="str">
        <x:v>Accessibility</x:v>
      </x:c>
      <x:c r="H173" s="51" t="str">
        <x:v>Да</x:v>
      </x:c>
      <x:c r="I173" s="51" t="str">
        <x:v>Не выполнено</x:v>
      </x:c>
      <x:c r="J173" s="52" t="str"/>
    </x:row>
    <x:row r="174" ht="42" customHeight="1">
      <x:c r="A174" s="50" t="str">
        <x:v>CL-171</x:v>
      </x:c>
      <x:c r="B174" s="51" t="str">
        <x:v>Локализация</x:v>
      </x:c>
      <x:c r="C174" s="51" t="str">
        <x:v>Главное меню полностью переведено</x:v>
      </x:c>
      <x:c r="D174" s="51" t="str">
        <x:v>Приложение открыто через локальный HTTP-сервер; localStorage очищен, если не указано иное.</x:v>
      </x:c>
      <x:c r="E174" s="51" t="str">
        <x:v>Нет смешения RU/EN.</x:v>
      </x:c>
      <x:c r="F174" s="51" t="str">
        <x:v>P2</x:v>
      </x:c>
      <x:c r="G174" s="51" t="str">
        <x:v>Локализация</x:v>
      </x:c>
      <x:c r="H174" s="51" t="str">
        <x:v>Да</x:v>
      </x:c>
      <x:c r="I174" s="51" t="str">
        <x:v>Не выполнено</x:v>
      </x:c>
      <x:c r="J174" s="52" t="str"/>
    </x:row>
    <x:row r="175" ht="42" customHeight="1">
      <x:c r="A175" s="50" t="str">
        <x:v>CL-172</x:v>
      </x:c>
      <x:c r="B175" s="51" t="str">
        <x:v>Локализация</x:v>
      </x:c>
      <x:c r="C175" s="51" t="str">
        <x:v>Настройки полностью переведены</x:v>
      </x:c>
      <x:c r="D175" s="51" t="str">
        <x:v>Приложение открыто через локальный HTTP-сервер; localStorage очищен, если не указано иное.</x:v>
      </x:c>
      <x:c r="E175" s="51" t="str">
        <x:v>Подписи и кнопки на одном языке.</x:v>
      </x:c>
      <x:c r="F175" s="51" t="str">
        <x:v>P2</x:v>
      </x:c>
      <x:c r="G175" s="51" t="str">
        <x:v>Локализация</x:v>
      </x:c>
      <x:c r="H175" s="51" t="str">
        <x:v>Да</x:v>
      </x:c>
      <x:c r="I175" s="51" t="str">
        <x:v>Не выполнено</x:v>
      </x:c>
      <x:c r="J175" s="52" t="str"/>
    </x:row>
    <x:row r="176" ht="42" customHeight="1">
      <x:c r="A176" s="50" t="str">
        <x:v>CL-173</x:v>
      </x:c>
      <x:c r="B176" s="51" t="str">
        <x:v>Локализация</x:v>
      </x:c>
      <x:c r="C176" s="51" t="str">
        <x:v>Игровая панель полностью переведена</x:v>
      </x:c>
      <x:c r="D176" s="51" t="str">
        <x:v>Приложение открыто через локальный HTTP-сервер; localStorage очищен, если не указано иное.</x:v>
      </x:c>
      <x:c r="E176" s="51" t="str">
        <x:v>Золото, сила, магазин, разделы и выход переведены.</x:v>
      </x:c>
      <x:c r="F176" s="51" t="str">
        <x:v>P2</x:v>
      </x:c>
      <x:c r="G176" s="51" t="str">
        <x:v>Локализация</x:v>
      </x:c>
      <x:c r="H176" s="51" t="str">
        <x:v>Да</x:v>
      </x:c>
      <x:c r="I176" s="51" t="str">
        <x:v>Не выполнено</x:v>
      </x:c>
      <x:c r="J176" s="52" t="str"/>
    </x:row>
    <x:row r="177" ht="42" customHeight="1">
      <x:c r="A177" s="50" t="str">
        <x:v>CL-174</x:v>
      </x:c>
      <x:c r="B177" s="51" t="str">
        <x:v>Локализация</x:v>
      </x:c>
      <x:c r="C177" s="51" t="str">
        <x:v>Скины полностью переведены</x:v>
      </x:c>
      <x:c r="D177" s="51" t="str">
        <x:v>Приложение открыто через локальный HTTP-сервер; localStorage очищен, если не указано иное.</x:v>
      </x:c>
      <x:c r="E177" s="51" t="str">
        <x:v>Названия, редкость, действия и подсказки на одном языке.</x:v>
      </x:c>
      <x:c r="F177" s="51" t="str">
        <x:v>P2</x:v>
      </x:c>
      <x:c r="G177" s="51" t="str">
        <x:v>Локализация</x:v>
      </x:c>
      <x:c r="H177" s="51" t="str">
        <x:v>Нет</x:v>
      </x:c>
      <x:c r="I177" s="51" t="str">
        <x:v>Не выполнено</x:v>
      </x:c>
      <x:c r="J177" s="52" t="str"/>
    </x:row>
    <x:row r="178" ht="42" customHeight="1">
      <x:c r="A178" s="50" t="str">
        <x:v>CL-175</x:v>
      </x:c>
      <x:c r="B178" s="51" t="str">
        <x:v>Локализация</x:v>
      </x:c>
      <x:c r="C178" s="51" t="str">
        <x:v>Бусты полностью переведены</x:v>
      </x:c>
      <x:c r="D178" s="51" t="str">
        <x:v>Приложение открыто через локальный HTTP-сервер; localStorage очищен, если не указано иное.</x:v>
      </x:c>
      <x:c r="E178" s="51" t="str">
        <x:v>12 названий и описаний имеют корректные EN-строки.</x:v>
      </x:c>
      <x:c r="F178" s="51" t="str">
        <x:v>P2</x:v>
      </x:c>
      <x:c r="G178" s="51" t="str">
        <x:v>Локализация</x:v>
      </x:c>
      <x:c r="H178" s="51" t="str">
        <x:v>Нет</x:v>
      </x:c>
      <x:c r="I178" s="51" t="str">
        <x:v>Не выполнено</x:v>
      </x:c>
      <x:c r="J178" s="52" t="str"/>
    </x:row>
    <x:row r="179" ht="42" customHeight="1">
      <x:c r="A179" s="50" t="str">
        <x:v>CL-176</x:v>
      </x:c>
      <x:c r="B179" s="51" t="str">
        <x:v>Локализация</x:v>
      </x:c>
      <x:c r="C179" s="51" t="str">
        <x:v>Достижения полностью переведены</x:v>
      </x:c>
      <x:c r="D179" s="51" t="str">
        <x:v>Приложение открыто через локальный HTTP-сервер; localStorage очищен, если не указано иное.</x:v>
      </x:c>
      <x:c r="E179" s="51" t="str">
        <x:v>80 шагов не показывают русский текст в EN.</x:v>
      </x:c>
      <x:c r="F179" s="51" t="str">
        <x:v>P2</x:v>
      </x:c>
      <x:c r="G179" s="51" t="str">
        <x:v>Локализация</x:v>
      </x:c>
      <x:c r="H179" s="51" t="str">
        <x:v>Нет</x:v>
      </x:c>
      <x:c r="I179" s="51" t="str">
        <x:v>Не выполнено</x:v>
      </x:c>
      <x:c r="J179" s="52" t="str"/>
    </x:row>
    <x:row r="180" ht="42" customHeight="1">
      <x:c r="A180" s="50" t="str">
        <x:v>CL-177</x:v>
      </x:c>
      <x:c r="B180" s="51" t="str">
        <x:v>Локализация</x:v>
      </x:c>
      <x:c r="C180" s="51" t="str">
        <x:v>Статистика полностью переведена</x:v>
      </x:c>
      <x:c r="D180" s="51" t="str">
        <x:v>Приложение открыто через локальный HTTP-сервер; localStorage очищен, если не указано иное.</x:v>
      </x:c>
      <x:c r="E180" s="51" t="str">
        <x:v>Заголовки и значения понятны.</x:v>
      </x:c>
      <x:c r="F180" s="51" t="str">
        <x:v>P2</x:v>
      </x:c>
      <x:c r="G180" s="51" t="str">
        <x:v>Локализация</x:v>
      </x:c>
      <x:c r="H180" s="51" t="str">
        <x:v>Нет</x:v>
      </x:c>
      <x:c r="I180" s="51" t="str">
        <x:v>Не выполнено</x:v>
      </x:c>
      <x:c r="J180" s="52" t="str"/>
    </x:row>
    <x:row r="181" ht="42" customHeight="1">
      <x:c r="A181" s="50" t="str">
        <x:v>CL-178</x:v>
      </x:c>
      <x:c r="B181" s="51" t="str">
        <x:v>Локализация</x:v>
      </x:c>
      <x:c r="C181" s="51" t="str">
        <x:v>Длинные английские строки не обрезаются</x:v>
      </x:c>
      <x:c r="D181" s="51" t="str">
        <x:v>Приложение открыто через локальный HTTP-сервер; localStorage очищен, если не указано иное.</x:v>
      </x:c>
      <x:c r="E181" s="51" t="str">
        <x:v>Нет наложений на 320 px.</x:v>
      </x:c>
      <x:c r="F181" s="51" t="str">
        <x:v>P2</x:v>
      </x:c>
      <x:c r="G181" s="51" t="str">
        <x:v>Адаптивность</x:v>
      </x:c>
      <x:c r="H181" s="51" t="str">
        <x:v>Нет</x:v>
      </x:c>
      <x:c r="I181" s="51" t="str">
        <x:v>Не выполнено</x:v>
      </x:c>
      <x:c r="J181" s="52" t="str"/>
    </x:row>
    <x:row r="182" ht="42" customHeight="1">
      <x:c r="A182" s="50" t="str">
        <x:v>CL-179</x:v>
      </x:c>
      <x:c r="B182" s="51" t="str">
        <x:v>Локализация</x:v>
      </x:c>
      <x:c r="C182" s="51" t="str">
        <x:v>Числовые форматы читаемы на обоих языках</x:v>
      </x:c>
      <x:c r="D182" s="51" t="str">
        <x:v>Приложение открыто через локальный HTTP-сервер; localStorage очищен, если не указано иное.</x:v>
      </x:c>
      <x:c r="E182" s="51" t="str">
        <x:v>Разделители и единицы понятны.</x:v>
      </x:c>
      <x:c r="F182" s="51" t="str">
        <x:v>P3</x:v>
      </x:c>
      <x:c r="G182" s="51" t="str">
        <x:v>Локализация</x:v>
      </x:c>
      <x:c r="H182" s="51" t="str">
        <x:v>Нет</x:v>
      </x:c>
      <x:c r="I182" s="51" t="str">
        <x:v>Не выполнено</x:v>
      </x:c>
      <x:c r="J182" s="52" t="str"/>
    </x:row>
    <x:row r="183" ht="42" customHeight="1">
      <x:c r="A183" s="50" t="str">
        <x:v>CL-180</x:v>
      </x:c>
      <x:c r="B183" s="51" t="str">
        <x:v>UI, адаптивность и доступность</x:v>
      </x:c>
      <x:c r="C183" s="51" t="str">
        <x:v>Интерфейс корректен на 1920×1080</x:v>
      </x:c>
      <x:c r="D183" s="51" t="str">
        <x:v>Приложение открыто через локальный HTTP-сервер; localStorage очищен, если не указано иное.</x:v>
      </x:c>
      <x:c r="E183" s="51" t="str">
        <x:v>Нет пустых зон, наложений и обрезки.</x:v>
      </x:c>
      <x:c r="F183" s="51" t="str">
        <x:v>P2</x:v>
      </x:c>
      <x:c r="G183" s="51" t="str">
        <x:v>Адаптивность</x:v>
      </x:c>
      <x:c r="H183" s="51" t="str">
        <x:v>Нет</x:v>
      </x:c>
      <x:c r="I183" s="51" t="str">
        <x:v>Не выполнено</x:v>
      </x:c>
      <x:c r="J183" s="52" t="str"/>
    </x:row>
    <x:row r="184" ht="42" customHeight="1">
      <x:c r="A184" s="50" t="str">
        <x:v>CL-181</x:v>
      </x:c>
      <x:c r="B184" s="51" t="str">
        <x:v>UI, адаптивность и доступность</x:v>
      </x:c>
      <x:c r="C184" s="51" t="str">
        <x:v>Интерфейс корректен на 1366×768</x:v>
      </x:c>
      <x:c r="D184" s="51" t="str">
        <x:v>Приложение открыто через локальный HTTP-сервер; localStorage очищен, если не указано иное.</x:v>
      </x:c>
      <x:c r="E184" s="51" t="str">
        <x:v>Основные кнопки доступны без горизонтального скролла.</x:v>
      </x:c>
      <x:c r="F184" s="51" t="str">
        <x:v>P1</x:v>
      </x:c>
      <x:c r="G184" s="51" t="str">
        <x:v>Адаптивность</x:v>
      </x:c>
      <x:c r="H184" s="51" t="str">
        <x:v>Да</x:v>
      </x:c>
      <x:c r="I184" s="51" t="str">
        <x:v>Не выполнено</x:v>
      </x:c>
      <x:c r="J184" s="52" t="str"/>
    </x:row>
    <x:row r="185" ht="42" customHeight="1">
      <x:c r="A185" s="50" t="str">
        <x:v>CL-182</x:v>
      </x:c>
      <x:c r="B185" s="51" t="str">
        <x:v>UI, адаптивность и доступность</x:v>
      </x:c>
      <x:c r="C185" s="51" t="str">
        <x:v>Интерфейс корректен на 768×1024</x:v>
      </x:c>
      <x:c r="D185" s="51" t="str">
        <x:v>Приложение открыто через локальный HTTP-сервер; localStorage очищен, если не указано иное.</x:v>
      </x:c>
      <x:c r="E185" s="51" t="str">
        <x:v>Планшетная компоновка читаема.</x:v>
      </x:c>
      <x:c r="F185" s="51" t="str">
        <x:v>P2</x:v>
      </x:c>
      <x:c r="G185" s="51" t="str">
        <x:v>Адаптивность</x:v>
      </x:c>
      <x:c r="H185" s="51" t="str">
        <x:v>Нет</x:v>
      </x:c>
      <x:c r="I185" s="51" t="str">
        <x:v>Не выполнено</x:v>
      </x:c>
      <x:c r="J185" s="52" t="str"/>
    </x:row>
    <x:row r="186" ht="42" customHeight="1">
      <x:c r="A186" s="50" t="str">
        <x:v>CL-183</x:v>
      </x:c>
      <x:c r="B186" s="51" t="str">
        <x:v>UI, адаптивность и доступность</x:v>
      </x:c>
      <x:c r="C186" s="51" t="str">
        <x:v>Интерфейс корректен на 390×844</x:v>
      </x:c>
      <x:c r="D186" s="51" t="str">
        <x:v>Приложение открыто через локальный HTTP-сервер; localStorage очищен, если не указано иное.</x:v>
      </x:c>
      <x:c r="E186" s="51" t="str">
        <x:v>Мобильные элементы не перекрываются.</x:v>
      </x:c>
      <x:c r="F186" s="51" t="str">
        <x:v>P1</x:v>
      </x:c>
      <x:c r="G186" s="51" t="str">
        <x:v>Адаптивность</x:v>
      </x:c>
      <x:c r="H186" s="51" t="str">
        <x:v>Да</x:v>
      </x:c>
      <x:c r="I186" s="51" t="str">
        <x:v>Не выполнено</x:v>
      </x:c>
      <x:c r="J186" s="52" t="str"/>
    </x:row>
    <x:row r="187" ht="42" customHeight="1">
      <x:c r="A187" s="50" t="str">
        <x:v>CL-184</x:v>
      </x:c>
      <x:c r="B187" s="51" t="str">
        <x:v>UI, адаптивность и доступность</x:v>
      </x:c>
      <x:c r="C187" s="51" t="str">
        <x:v>Интерфейс корректен на 320×568</x:v>
      </x:c>
      <x:c r="D187" s="51" t="str">
        <x:v>Приложение открыто через локальный HTTP-сервер; localStorage очищен, если не указано иное.</x:v>
      </x:c>
      <x:c r="E187" s="51" t="str">
        <x:v>Длинные тексты переносятся, модалки прокручиваются.</x:v>
      </x:c>
      <x:c r="F187" s="51" t="str">
        <x:v>P1</x:v>
      </x:c>
      <x:c r="G187" s="51" t="str">
        <x:v>Адаптивность</x:v>
      </x:c>
      <x:c r="H187" s="51" t="str">
        <x:v>Нет</x:v>
      </x:c>
      <x:c r="I187" s="51" t="str">
        <x:v>Не выполнено</x:v>
      </x:c>
      <x:c r="J187" s="52" t="str"/>
    </x:row>
    <x:row r="188" ht="42" customHeight="1">
      <x:c r="A188" s="50" t="str">
        <x:v>CL-185</x:v>
      </x:c>
      <x:c r="B188" s="51" t="str">
        <x:v>UI, адаптивность и доступность</x:v>
      </x:c>
      <x:c r="C188" s="51" t="str">
        <x:v>Нет горизонтального скролла</x:v>
      </x:c>
      <x:c r="D188" s="51" t="str">
        <x:v>Приложение открыто через локальный HTTP-сервер; localStorage очищен, если не указано иное.</x:v>
      </x:c>
      <x:c r="E188" s="51" t="str">
        <x:v>document.scrollWidth не превышает viewport.</x:v>
      </x:c>
      <x:c r="F188" s="51" t="str">
        <x:v>P1</x:v>
      </x:c>
      <x:c r="G188" s="51" t="str">
        <x:v>Адаптивность</x:v>
      </x:c>
      <x:c r="H188" s="51" t="str">
        <x:v>Да</x:v>
      </x:c>
      <x:c r="I188" s="51" t="str">
        <x:v>Не выполнено</x:v>
      </x:c>
      <x:c r="J188" s="52" t="str"/>
    </x:row>
    <x:row r="189" ht="42" customHeight="1">
      <x:c r="A189" s="50" t="str">
        <x:v>CL-186</x:v>
      </x:c>
      <x:c r="B189" s="51" t="str">
        <x:v>UI, адаптивность и доступность</x:v>
      </x:c>
      <x:c r="C189" s="51" t="str">
        <x:v>Модальные окна имеют допустимый вертикальный скролл</x:v>
      </x:c>
      <x:c r="D189" s="51" t="str">
        <x:v>Приложение открыто через локальный HTTP-сервер; localStorage очищен, если не указано иное.</x:v>
      </x:c>
      <x:c r="E189" s="51" t="str">
        <x:v>Контент доступен на низком экране.</x:v>
      </x:c>
      <x:c r="F189" s="51" t="str">
        <x:v>P1</x:v>
      </x:c>
      <x:c r="G189" s="51" t="str">
        <x:v>Адаптивность</x:v>
      </x:c>
      <x:c r="H189" s="51" t="str">
        <x:v>Нет</x:v>
      </x:c>
      <x:c r="I189" s="51" t="str">
        <x:v>Не выполнено</x:v>
      </x:c>
      <x:c r="J189" s="52" t="str"/>
    </x:row>
    <x:row r="190" ht="42" customHeight="1">
      <x:c r="A190" s="50" t="str">
        <x:v>CL-187</x:v>
      </x:c>
      <x:c r="B190" s="51" t="str">
        <x:v>UI, адаптивность и доступность</x:v>
      </x:c>
      <x:c r="C190" s="51" t="str">
        <x:v>Все интерактивные элементы доступны Tab</x:v>
      </x:c>
      <x:c r="D190" s="51" t="str">
        <x:v>Приложение открыто через локальный HTTP-сервер; localStorage очищен, если не указано иное.</x:v>
      </x:c>
      <x:c r="E190" s="51" t="str">
        <x:v>Логичный порядок фокуса.</x:v>
      </x:c>
      <x:c r="F190" s="51" t="str">
        <x:v>P1</x:v>
      </x:c>
      <x:c r="G190" s="51" t="str">
        <x:v>Accessibility</x:v>
      </x:c>
      <x:c r="H190" s="51" t="str">
        <x:v>Нет</x:v>
      </x:c>
      <x:c r="I190" s="51" t="str">
        <x:v>Не выполнено</x:v>
      </x:c>
      <x:c r="J190" s="52" t="str"/>
    </x:row>
    <x:row r="191" ht="42" customHeight="1">
      <x:c r="A191" s="50" t="str">
        <x:v>CL-188</x:v>
      </x:c>
      <x:c r="B191" s="51" t="str">
        <x:v>UI, адаптивность и доступность</x:v>
      </x:c>
      <x:c r="C191" s="51" t="str">
        <x:v>Фокус хорошо виден во всех темах</x:v>
      </x:c>
      <x:c r="D191" s="51" t="str">
        <x:v>Приложение открыто через локальный HTTP-сервер; localStorage очищен, если не указано иное.</x:v>
      </x:c>
      <x:c r="E191" s="51" t="str">
        <x:v>Контрастный focus indicator.</x:v>
      </x:c>
      <x:c r="F191" s="51" t="str">
        <x:v>P1</x:v>
      </x:c>
      <x:c r="G191" s="51" t="str">
        <x:v>Accessibility</x:v>
      </x:c>
      <x:c r="H191" s="51" t="str">
        <x:v>Нет</x:v>
      </x:c>
      <x:c r="I191" s="51" t="str">
        <x:v>Не выполнено</x:v>
      </x:c>
      <x:c r="J191" s="52" t="str"/>
    </x:row>
    <x:row r="192" ht="42" customHeight="1">
      <x:c r="A192" s="50" t="str">
        <x:v>CL-189</x:v>
      </x:c>
      <x:c r="B192" s="51" t="str">
        <x:v>UI, адаптивность и доступность</x:v>
      </x:c>
      <x:c r="C192" s="51" t="str">
        <x:v>Кнопки-крестики имеют понятный accessible name</x:v>
      </x:c>
      <x:c r="D192" s="51" t="str">
        <x:v>Приложение открыто через локальный HTTP-сервер; localStorage очищен, если не указано иное.</x:v>
      </x:c>
      <x:c r="E192" s="51" t="str">
        <x:v>Screen reader сообщает назначение окна.</x:v>
      </x:c>
      <x:c r="F192" s="51" t="str">
        <x:v>P1</x:v>
      </x:c>
      <x:c r="G192" s="51" t="str">
        <x:v>Accessibility</x:v>
      </x:c>
      <x:c r="H192" s="51" t="str">
        <x:v>Нет</x:v>
      </x:c>
      <x:c r="I192" s="51" t="str">
        <x:v>Не выполнено</x:v>
      </x:c>
      <x:c r="J192" s="52" t="str"/>
    </x:row>
    <x:row r="193" ht="42" customHeight="1">
      <x:c r="A193" s="50" t="str">
        <x:v>CL-190</x:v>
      </x:c>
      <x:c r="B193" s="51" t="str">
        <x:v>UI, адаптивность и доступность</x:v>
      </x:c>
      <x:c r="C193" s="51" t="str">
        <x:v>Ползунок яркости имеет accessible name</x:v>
      </x:c>
      <x:c r="D193" s="51" t="str">
        <x:v>Приложение открыто через локальный HTTP-сервер; localStorage очищен, если не указано иное.</x:v>
      </x:c>
      <x:c r="E193" s="51" t="str">
        <x:v>Screen reader сообщает «Яркость».</x:v>
      </x:c>
      <x:c r="F193" s="51" t="str">
        <x:v>P2</x:v>
      </x:c>
      <x:c r="G193" s="51" t="str">
        <x:v>Accessibility</x:v>
      </x:c>
      <x:c r="H193" s="51" t="str">
        <x:v>Нет</x:v>
      </x:c>
      <x:c r="I193" s="51" t="str">
        <x:v>Не выполнено</x:v>
      </x:c>
      <x:c r="J193" s="52" t="str"/>
    </x:row>
    <x:row r="194" ht="42" customHeight="1">
      <x:c r="A194" s="50" t="str">
        <x:v>CL-191</x:v>
      </x:c>
      <x:c r="B194" s="51" t="str">
        <x:v>UI, адаптивность и доступность</x:v>
      </x:c>
      <x:c r="C194" s="51" t="str">
        <x:v>Ползунок громкости имеет accessible name</x:v>
      </x:c>
      <x:c r="D194" s="51" t="str">
        <x:v>Приложение открыто через локальный HTTP-сервер; localStorage очищен, если не указано иное.</x:v>
      </x:c>
      <x:c r="E194" s="51" t="str">
        <x:v>Screen reader сообщает «Громкость звука».</x:v>
      </x:c>
      <x:c r="F194" s="51" t="str">
        <x:v>P2</x:v>
      </x:c>
      <x:c r="G194" s="51" t="str">
        <x:v>Accessibility</x:v>
      </x:c>
      <x:c r="H194" s="51" t="str">
        <x:v>Да</x:v>
      </x:c>
      <x:c r="I194" s="51" t="str">
        <x:v>Не выполнено</x:v>
      </x:c>
      <x:c r="J194" s="52" t="str"/>
    </x:row>
    <x:row r="195" ht="42" customHeight="1">
      <x:c r="A195" s="50" t="str">
        <x:v>CL-192</x:v>
      </x:c>
      <x:c r="B195" s="51" t="str">
        <x:v>UI, адаптивность и доступность</x:v>
      </x:c>
      <x:c r="C195" s="51" t="str">
        <x:v>Progress bar уровня имеет корректные aria-атрибуты</x:v>
      </x:c>
      <x:c r="D195" s="51" t="str">
        <x:v>Приложение открыто через локальный HTTP-сервер; localStorage очищен, если не указано иное.</x:v>
      </x:c>
      <x:c r="E195" s="51" t="str">
        <x:v>Role и min/now/max актуальны.</x:v>
      </x:c>
      <x:c r="F195" s="51" t="str">
        <x:v>P2</x:v>
      </x:c>
      <x:c r="G195" s="51" t="str">
        <x:v>Accessibility</x:v>
      </x:c>
      <x:c r="H195" s="51" t="str">
        <x:v>Да</x:v>
      </x:c>
      <x:c r="I195" s="51" t="str">
        <x:v>Не выполнено</x:v>
      </x:c>
      <x:c r="J195" s="52" t="str"/>
    </x:row>
    <x:row r="196" ht="42" customHeight="1">
      <x:c r="A196" s="50" t="str">
        <x:v>CL-193</x:v>
      </x:c>
      <x:c r="B196" s="51" t="str">
        <x:v>UI, адаптивность и доступность</x:v>
      </x:c>
      <x:c r="C196" s="51" t="str">
        <x:v>Цвет не является единственным способом передать состояние</x:v>
      </x:c>
      <x:c r="D196" s="51" t="str">
        <x:v>Приложение открыто через локальный HTTP-сервер; localStorage очищен, если не указано иное.</x:v>
      </x:c>
      <x:c r="E196" s="51" t="str">
        <x:v>Locked/active/owned также имеют текст/иконку.</x:v>
      </x:c>
      <x:c r="F196" s="51" t="str">
        <x:v>P2</x:v>
      </x:c>
      <x:c r="G196" s="51" t="str">
        <x:v>Accessibility</x:v>
      </x:c>
      <x:c r="H196" s="51" t="str">
        <x:v>Нет</x:v>
      </x:c>
      <x:c r="I196" s="51" t="str">
        <x:v>Не выполнено</x:v>
      </x:c>
      <x:c r="J196" s="52" t="str"/>
    </x:row>
    <x:row r="197" ht="42" customHeight="1">
      <x:c r="A197" s="50" t="str">
        <x:v>CL-194</x:v>
      </x:c>
      <x:c r="B197" s="51" t="str">
        <x:v>UI, адаптивность и доступность</x:v>
      </x:c>
      <x:c r="C197" s="51" t="str">
        <x:v>Контраст текста достаточен в тёмной теме</x:v>
      </x:c>
      <x:c r="D197" s="51" t="str">
        <x:v>Приложение открыто через локальный HTTP-сервер; localStorage очищен, если не указано иное.</x:v>
      </x:c>
      <x:c r="E197" s="51" t="str">
        <x:v>Ключевой текст читаем.</x:v>
      </x:c>
      <x:c r="F197" s="51" t="str">
        <x:v>P1</x:v>
      </x:c>
      <x:c r="G197" s="51" t="str">
        <x:v>Accessibility</x:v>
      </x:c>
      <x:c r="H197" s="51" t="str">
        <x:v>Нет</x:v>
      </x:c>
      <x:c r="I197" s="51" t="str">
        <x:v>Не выполнено</x:v>
      </x:c>
      <x:c r="J197" s="52" t="str"/>
    </x:row>
    <x:row r="198" ht="42" customHeight="1">
      <x:c r="A198" s="50" t="str">
        <x:v>CL-195</x:v>
      </x:c>
      <x:c r="B198" s="51" t="str">
        <x:v>UI, адаптивность и доступность</x:v>
      </x:c>
      <x:c r="C198" s="51" t="str">
        <x:v>Контраст текста достаточен в светлой теме</x:v>
      </x:c>
      <x:c r="D198" s="51" t="str">
        <x:v>Приложение открыто через локальный HTTP-сервер; localStorage очищен, если не указано иное.</x:v>
      </x:c>
      <x:c r="E198" s="51" t="str">
        <x:v>Ключевой текст читаем.</x:v>
      </x:c>
      <x:c r="F198" s="51" t="str">
        <x:v>P1</x:v>
      </x:c>
      <x:c r="G198" s="51" t="str">
        <x:v>Accessibility</x:v>
      </x:c>
      <x:c r="H198" s="51" t="str">
        <x:v>Нет</x:v>
      </x:c>
      <x:c r="I198" s="51" t="str">
        <x:v>Не выполнено</x:v>
      </x:c>
      <x:c r="J198" s="52" t="str"/>
    </x:row>
    <x:row r="199" ht="42" customHeight="1">
      <x:c r="A199" s="50" t="str">
        <x:v>CL-196</x:v>
      </x:c>
      <x:c r="B199" s="51" t="str">
        <x:v>UI, адаптивность и доступность</x:v>
      </x:c>
      <x:c r="C199" s="51" t="str">
        <x:v>Масштаб браузера 200% не ломает сценарии</x:v>
      </x:c>
      <x:c r="D199" s="51" t="str">
        <x:v>Приложение открыто через локальный HTTP-сервер; localStorage очищен, если не указано иное.</x:v>
      </x:c>
      <x:c r="E199" s="51" t="str">
        <x:v>Контент доступен и прокручивается.</x:v>
      </x:c>
      <x:c r="F199" s="51" t="str">
        <x:v>P1</x:v>
      </x:c>
      <x:c r="G199" s="51" t="str">
        <x:v>Accessibility</x:v>
      </x:c>
      <x:c r="H199" s="51" t="str">
        <x:v>Нет</x:v>
      </x:c>
      <x:c r="I199" s="51" t="str">
        <x:v>Не выполнено</x:v>
      </x:c>
      <x:c r="J199" s="52" t="str"/>
    </x:row>
    <x:row r="200" ht="42" customHeight="1">
      <x:c r="A200" s="50" t="str">
        <x:v>CL-197</x:v>
      </x:c>
      <x:c r="B200" s="51" t="str">
        <x:v>UI, адаптивность и доступность</x:v>
      </x:c>
      <x:c r="C200" s="51" t="str">
        <x:v>Глобальные обработчики не блокируют обычные клавиши</x:v>
      </x:c>
      <x:c r="D200" s="51" t="str">
        <x:v>Приложение открыто через локальный HTTP-сервер; localStorage очищен, если не указано иное.</x:v>
      </x:c>
      <x:c r="E200" s="51" t="str">
        <x:v>Shift и I работают для системных/assistive сценариев.</x:v>
      </x:c>
      <x:c r="F200" s="51" t="str">
        <x:v>P1</x:v>
      </x:c>
      <x:c r="G200" s="51" t="str">
        <x:v>Accessibility</x:v>
      </x:c>
      <x:c r="H200" s="51" t="str">
        <x:v>Нет</x:v>
      </x:c>
      <x:c r="I200" s="51" t="str">
        <x:v>Не выполнено</x:v>
      </x:c>
      <x:c r="J200" s="52" t="str"/>
    </x:row>
    <x:row r="201" ht="42" customHeight="1">
      <x:c r="A201" s="50" t="str">
        <x:v>CL-198</x:v>
      </x:c>
      <x:c r="B201" s="51" t="str">
        <x:v>UI, адаптивность и доступность</x:v>
      </x:c>
      <x:c r="C201" s="51" t="str">
        <x:v>Правый клик не блокируется без требования продукта</x:v>
      </x:c>
      <x:c r="D201" s="51" t="str">
        <x:v>Приложение открыто через локальный HTTP-сервер; localStorage очищен, если не указано иное.</x:v>
      </x:c>
      <x:c r="E201" s="51" t="str">
        <x:v>Контекстное меню браузера доступно либо ограничение документировано.</x:v>
      </x:c>
      <x:c r="F201" s="51" t="str">
        <x:v>P3</x:v>
      </x:c>
      <x:c r="G201" s="51" t="str">
        <x:v>UX</x:v>
      </x:c>
      <x:c r="H201" s="51" t="str">
        <x:v>Нет</x:v>
      </x:c>
      <x:c r="I201" s="51" t="str">
        <x:v>Не выполнено</x:v>
      </x:c>
      <x:c r="J201" s="52" t="str"/>
    </x:row>
    <x:row r="202" ht="42" customHeight="1">
      <x:c r="A202" s="53" t="str">
        <x:v>CL-199</x:v>
      </x:c>
      <x:c r="B202" s="54" t="str">
        <x:v>UI, адаптивность и доступность</x:v>
      </x:c>
      <x:c r="C202" s="54" t="str">
        <x:v>Анимации не мешают нажимать элементы</x:v>
      </x:c>
      <x:c r="D202" s="54" t="str">
        <x:v>Приложение открыто через локальный HTTP-сервер; localStorage очищен, если не указано иное.</x:v>
      </x:c>
      <x:c r="E202" s="54" t="str">
        <x:v>Пульсация не вызывает постоянную нестабильность hit target.</x:v>
      </x:c>
      <x:c r="F202" s="54" t="str">
        <x:v>P2</x:v>
      </x:c>
      <x:c r="G202" s="54" t="str">
        <x:v>UX</x:v>
      </x:c>
      <x:c r="H202" s="54" t="str">
        <x:v>Нет</x:v>
      </x:c>
      <x:c r="I202" s="54" t="str">
        <x:v>Не выполнено</x:v>
      </x:c>
      <x:c r="J202" s="55" t="str"/>
    </x:row>
  </x:sheetData>
  <x:mergeCells>
    <x:mergeCell ref="A1:J1"/>
  </x:mergeCells>
  <x:conditionalFormatting sqref="I4:I202">
    <x:cfRule type="expression" dxfId="0" priority="1">
      <x:formula>I4="Пройдено"</x:formula>
    </x:cfRule>
    <x:cfRule type="expression" dxfId="1" priority="2">
      <x:formula>I4="Не пройдено"</x:formula>
    </x:cfRule>
    <x:cfRule type="expression" dxfId="2" priority="3">
      <x:formula>I4="Заблокировано"</x:formula>
    </x:cfRule>
    <x:cfRule type="expression" dxfId="3" priority="4">
      <x:formula>I4="Не применимо"</x:formula>
    </x:cfRule>
  </x:conditionalFormatting>
  <x:dataValidations count="1">
    <x:dataValidation type="list" sqref="I4:I202">
      <x:formula1>"Не выполнено,Пройдено,Не пройдено,Заблокировано,Не применимо"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787a0ea97647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23" hidden="0" customWidth="1"/>
    <x:col min="4" max="4" width="32" hidden="0" customWidth="1"/>
    <x:col min="5" max="5" width="38" hidden="0" customWidth="1"/>
    <x:col min="6" max="6" width="40" hidden="0" customWidth="1"/>
    <x:col min="7" max="7" width="40" hidden="0" customWidth="1"/>
    <x:col min="8" max="8" width="12" hidden="0" customWidth="1"/>
    <x:col min="9" max="9" width="12" hidden="0" customWidth="1"/>
    <x:col min="10" max="10" width="27" hidden="0" customWidth="1"/>
    <x:col min="11" max="11" width="30" hidden="0" customWidth="1"/>
    <x:col min="12" max="12" width="38" hidden="0" customWidth="1"/>
    <x:col min="13" max="13" width="30" hidden="0" customWidth="1"/>
    <x:col min="14" max="14" width="24" hidden="0" customWidth="1"/>
  </x:cols>
  <x:sheetData>
    <x:row r="1" ht="30" customHeight="1">
      <x:c r="A1" s="5" t="str">
        <x:v>ROBO CLICKER — РЕЕСТР ДЕФЕКТОВ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 ht="34" customHeight="1">
      <x:c r="A3" s="21" t="str">
        <x:v>ID</x:v>
      </x:c>
      <x:c r="B3" s="22" t="str">
        <x:v>Заголовок</x:v>
      </x:c>
      <x:c r="C3" s="22" t="str">
        <x:v>Модуль</x:v>
      </x:c>
      <x:c r="D3" s="22" t="str">
        <x:v>Предусловие</x:v>
      </x:c>
      <x:c r="E3" s="22" t="str">
        <x:v>Шаги</x:v>
      </x:c>
      <x:c r="F3" s="22" t="str">
        <x:v>Фактический результат</x:v>
      </x:c>
      <x:c r="G3" s="22" t="str">
        <x:v>Ожидаемый результат</x:v>
      </x:c>
      <x:c r="H3" s="22" t="str">
        <x:v>Severity</x:v>
      </x:c>
      <x:c r="I3" s="22" t="str">
        <x:v>Priority</x:v>
      </x:c>
      <x:c r="J3" s="22" t="str">
        <x:v>Status</x:v>
      </x:c>
      <x:c r="K3" s="22" t="str">
        <x:v>Окружение</x:v>
      </x:c>
      <x:c r="L3" s="22" t="str">
        <x:v>Evidence</x:v>
      </x:c>
      <x:c r="M3" s="22" t="str">
        <x:v>Источник</x:v>
      </x:c>
      <x:c r="N3" s="23" t="str">
        <x:v>Комментарий</x:v>
      </x:c>
    </x:row>
    <x:row r="4" ht="84" customHeight="1">
      <x:c r="A4" s="50" t="str">
        <x:v>BUG-001</x:v>
      </x:c>
      <x:c r="B4" s="51" t="str">
        <x:v>Выбранный язык не восстанавливается после перезагрузки</x:v>
      </x:c>
      <x:c r="C4" s="51" t="str">
        <x:v>Настройки / Локализация</x:v>
      </x:c>
      <x:c r="D4" s="51" t="str">
        <x:v>Браузер с локалью ru-RU; игра запущена по HTTP.</x:v>
      </x:c>
      <x:c r="E4" s="51" t="str">
        <x:v>1. Открыть Настройки.
2. Выбрать EN.
3. Перезагрузить страницу.</x:v>
      </x:c>
      <x:c r="F4" s="51" t="str">
        <x:v>После запуска applyStartupLanguage снова выбирает язык платформы/браузера и перезаписывает сохранённый выбор.</x:v>
      </x:c>
      <x:c r="G4" s="51" t="str">
        <x:v>При наличии language в localStorage использовать сохранённый пользователем язык.</x:v>
      </x:c>
      <x:c r="H4" s="51" t="str">
        <x:v>Major</x:v>
      </x:c>
      <x:c r="I4" s="51" t="str">
        <x:v>High</x:v>
      </x:c>
      <x:c r="J4" s="51" t="str">
        <x:v>Подтвержден статическим анализом</x:v>
      </x:c>
      <x:c r="K4" s="51" t="str">
        <x:v>Все браузеры; локальный режим и SDK-режим</x:v>
      </x:c>
      <x:c r="L4" s="51" t="str">
        <x:v>LANGUAGE_KEY записывается в applyLanguage, но не читается в applyStartupLanguage.</x:v>
      </x:c>
      <x:c r="M4" s="51" t="str">
        <x:v>script.js: applyStartupLanguage / LANGUAGE_KEY</x:v>
      </x:c>
      <x:c r="N4" s="52" t="str"/>
    </x:row>
    <x:row r="5" ht="84" customHeight="1">
      <x:c r="A5" s="50" t="str">
        <x:v>BUG-002</x:v>
      </x:c>
      <x:c r="B5" s="51" t="str">
        <x:v>Кнопка «ПОЕХАЛИ!» в окне «Об игре» не запускает игру</x:v>
      </x:c>
      <x:c r="C5" s="51" t="str">
        <x:v>Главное меню / Об игре</x:v>
      </x:c>
      <x:c r="D5" s="51" t="str">
        <x:v>Открыто главное меню.</x:v>
      </x:c>
      <x:c r="E5" s="51" t="str">
        <x:v>1. Нажать «Об игре».
2. Нажать «ПОЕХАЛИ!».</x:v>
      </x:c>
      <x:c r="F5" s="51" t="str">
        <x:v>Модалка закрывается, вызывается goToMenu(), пользователь остаётся в главном меню.</x:v>
      </x:c>
      <x:c r="G5" s="51" t="str">
        <x:v>Кнопка с призывом «ПОЕХАЛИ!» запускает игру либо имеет другую однозначную подпись.</x:v>
      </x:c>
      <x:c r="H5" s="51" t="str">
        <x:v>Minor</x:v>
      </x:c>
      <x:c r="I5" s="51" t="str">
        <x:v>Medium</x:v>
      </x:c>
      <x:c r="J5" s="51" t="str">
        <x:v>Подтвержден статическим анализом</x:v>
      </x:c>
      <x:c r="K5" s="51" t="str">
        <x:v>Все браузеры</x:v>
      </x:c>
      <x:c r="L5" s="51" t="str">
        <x:v>Обработчик about-go-btn вызывает goToMenu(), а не startGame().</x:v>
      </x:c>
      <x:c r="M5" s="51" t="str">
        <x:v>script.js: 1865–1871</x:v>
      </x:c>
      <x:c r="N5" s="52" t="str"/>
    </x:row>
    <x:row r="6" ht="84" customHeight="1">
      <x:c r="A6" s="50" t="str">
        <x:v>BUG-003</x:v>
      </x:c>
      <x:c r="B6" s="51" t="str">
        <x:v>Звуки сначала запрашиваются из отсутствующей папки sounds</x:v>
      </x:c>
      <x:c r="C6" s="51" t="str">
        <x:v>Мультимедиа / Ресурсы</x:v>
      </x:c>
      <x:c r="D6" s="51" t="str">
        <x:v>Проект развёрнут без дополнительной папки sounds.</x:v>
      </x:c>
      <x:c r="E6" s="51" t="str">
        <x:v>1. Открыть DevTools Network.
2. Запустить игру.
3. Нажать игровые кнопки.</x:v>
      </x:c>
      <x:c r="F6" s="51" t="str">
        <x:v>Первичные пути sounds/click.wav, sounds/start.wav и sounds/menu.wav отсутствуют; используется fallback на корневые файлы.</x:v>
      </x:c>
      <x:c r="G6" s="51" t="str">
        <x:v>Основные src сразу указывают на существующие файлы, без 404 и задержки fallback.</x:v>
      </x:c>
      <x:c r="H6" s="51" t="str">
        <x:v>Minor</x:v>
      </x:c>
      <x:c r="I6" s="51" t="str">
        <x:v>Medium</x:v>
      </x:c>
      <x:c r="J6" s="51" t="str">
        <x:v>Подтвержден статическим анализом</x:v>
      </x:c>
      <x:c r="K6" s="51" t="str">
        <x:v>HTTP-сервер</x:v>
      </x:c>
      <x:c r="L6" s="51" t="str">
        <x:v>В репозитории *.wav лежат в корне, createGameSound сначала использует sounds/*.wav.</x:v>
      </x:c>
      <x:c r="M6" s="51" t="str">
        <x:v>script.js: sounds; структура проекта</x:v>
      </x:c>
      <x:c r="N6" s="52" t="str"/>
    </x:row>
    <x:row r="7" ht="84" customHeight="1">
      <x:c r="A7" s="50" t="str">
        <x:v>BUG-004</x:v>
      </x:c>
      <x:c r="B7" s="51" t="str">
        <x:v>Глобальный keydown блокирует клавиши Shift и I</x:v>
      </x:c>
      <x:c r="C7" s="51" t="str">
        <x:v>Клавиатура / Accessibility</x:v>
      </x:c>
      <x:c r="D7" s="51" t="str">
        <x:v>Страница в фокусе.</x:v>
      </x:c>
      <x:c r="E7" s="51" t="str">
        <x:v>1. Нажать Shift.
2. Нажать клавишу I.
3. Проверить event.defaultPrevented и работу assistive/браузерных сценариев.</x:v>
      </x:c>
      <x:c r="F7" s="51" t="str">
        <x:v>Для keyCode 16 и 73 всегда вызываются preventDefault и stopPropagation.</x:v>
      </x:c>
      <x:c r="G7" s="51" t="str">
        <x:v>Блокируются только документированные опасные комбинации; обычные клавиши работают.</x:v>
      </x:c>
      <x:c r="H7" s="51" t="str">
        <x:v>Major</x:v>
      </x:c>
      <x:c r="I7" s="51" t="str">
        <x:v>High</x:v>
      </x:c>
      <x:c r="J7" s="51" t="str">
        <x:v>Подтвержден статическим анализом</x:v>
      </x:c>
      <x:c r="K7" s="51" t="str">
        <x:v>Все desktop-браузеры</x:v>
      </x:c>
      <x:c r="L7" s="51" t="str">
        <x:v>Глобальный document.addEventListener("keydown") содержит e.keyCode==16 || e.keyCode==73.</x:v>
      </x:c>
      <x:c r="M7" s="51" t="str">
        <x:v>script.js: конец файла</x:v>
      </x:c>
      <x:c r="N7" s="52" t="str"/>
    </x:row>
    <x:row r="8" ht="84" customHeight="1">
      <x:c r="A8" s="50" t="str">
        <x:v>BUG-005</x:v>
      </x:c>
      <x:c r="B8" s="51" t="str">
        <x:v>Основной игровой объект недоступен с клавиатуры</x:v>
      </x:c>
      <x:c r="C8" s="51" t="str">
        <x:v>Игровой экран / Accessibility</x:v>
      </x:c>
      <x:c r="D8" s="51" t="str">
        <x:v>Игра запущена; используется только клавиатура.</x:v>
      </x:c>
      <x:c r="E8" s="51" t="str">
        <x:v>1. Нажимать Tab до игрового объекта.
2. Попытаться активировать Enter/Space.</x:v>
      </x:c>
      <x:c r="F8" s="51" t="str">
        <x:v>#click-object — div без tabindex, role и keyboard handler; фокус на него не попадает.</x:v>
      </x:c>
      <x:c r="G8" s="51" t="str">
        <x:v>Главное действие игры доступно клавиатурой и имеет accessible name.</x:v>
      </x:c>
      <x:c r="H8" s="51" t="str">
        <x:v>Major</x:v>
      </x:c>
      <x:c r="I8" s="51" t="str">
        <x:v>High</x:v>
      </x:c>
      <x:c r="J8" s="51" t="str">
        <x:v>Подтвержден статическим анализом</x:v>
      </x:c>
      <x:c r="K8" s="51" t="str">
        <x:v>Все браузеры; screen reader/keyboard-only</x:v>
      </x:c>
      <x:c r="L8" s="51" t="str">
        <x:v>index.html содержит &lt;div id="click-object"&gt;; логика подписана только на pointerdown.</x:v>
      </x:c>
      <x:c r="M8" s="51" t="str">
        <x:v>index.html + script.js</x:v>
      </x:c>
      <x:c r="N8" s="52" t="str"/>
    </x:row>
    <x:row r="9" ht="84" customHeight="1">
      <x:c r="A9" s="50" t="str">
        <x:v>BUG-006</x:v>
      </x:c>
      <x:c r="B9" s="51" t="str">
        <x:v>Кнопки закрытия «Об игре» и «Настройки» не имеют доступного имени</x:v>
      </x:c>
      <x:c r="C9" s="51" t="str">
        <x:v>Модальные окна / Accessibility</x:v>
      </x:c>
      <x:c r="D9" s="51" t="str">
        <x:v>Открыто окно «Об игре» или «Настройки»; включён screen reader.</x:v>
      </x:c>
      <x:c r="E9" s="51" t="str">
        <x:v>1. Перейти Tab на кнопку ✕.
2. Прослушать объявление screen reader.</x:v>
      </x:c>
      <x:c r="F9" s="51" t="str">
        <x:v>Кнопки содержат только символ ✕ и не имеют aria-label/title с назначением.</x:v>
      </x:c>
      <x:c r="G9" s="51" t="str">
        <x:v>Например, «Закрыть окно Об игре» и «Закрыть настройки».</x:v>
      </x:c>
      <x:c r="H9" s="51" t="str">
        <x:v>Minor</x:v>
      </x:c>
      <x:c r="I9" s="51" t="str">
        <x:v>Medium</x:v>
      </x:c>
      <x:c r="J9" s="51" t="str">
        <x:v>Подтвержден статическим анализом</x:v>
      </x:c>
      <x:c r="K9" s="51" t="str">
        <x:v>Screen reader</x:v>
      </x:c>
      <x:c r="L9" s="51" t="str">
        <x:v>close-about и close-settings не включены в ariaMap и не имеют aria-label в HTML.</x:v>
      </x:c>
      <x:c r="M9" s="51" t="str">
        <x:v>index.html: close-about/close-settings</x:v>
      </x:c>
      <x:c r="N9" s="52" t="str"/>
    </x:row>
    <x:row r="10" ht="84" customHeight="1">
      <x:c r="A10" s="50" t="str">
        <x:v>BUG-007</x:v>
      </x:c>
      <x:c r="B10" s="51" t="str">
        <x:v>Условия достижений, связанных со скинами, считаются по количеству owned</x:v>
      </x:c>
      <x:c r="C10" s="51" t="str">
        <x:v>Достижения / Скины</x:v>
      </x:c>
      <x:c r="D10" s="51" t="str">
        <x:v>Есть доступ к нескольким скинам.</x:v>
      </x:c>
      <x:c r="E10" s="51" t="str">
        <x:v>1. Купить любые 5 скинов, не выполняя последовательность редких.
2. Проверить «Огненный гардероб».
3. Купить любые 4 скина и проверить «Император стиля».</x:v>
      </x:c>
      <x:c r="F10" s="51" t="str">
        <x:v>Тип skinsEquipped возвращает ownedSkinIds.size; условие rare/consecutive не отслеживается. Для «все ultra» также проверяется только число.</x:v>
      </x:c>
      <x:c r="G10" s="51" t="str">
        <x:v>Отслеживать фактические редкости, equip-события и последовательность согласно описанию.</x:v>
      </x:c>
      <x:c r="H10" s="51" t="str">
        <x:v>Major</x:v>
      </x:c>
      <x:c r="I10" s="51" t="str">
        <x:v>High</x:v>
      </x:c>
      <x:c r="J10" s="51" t="str">
        <x:v>Подтвержден статическим анализом</x:v>
      </x:c>
      <x:c r="K10" s="51" t="str">
        <x:v>Все браузеры</x:v>
      </x:c>
      <x:c r="L10" s="51" t="str">
        <x:v>getAchievementProgressValue: skinsEquipped → ownedSkinsWithoutDefault; achievement 57 goal=4 type=skins.</x:v>
      </x:c>
      <x:c r="M10" s="51" t="str">
        <x:v>script.js: achievements 56–59, getAchievementProgressValue</x:v>
      </x:c>
      <x:c r="N10" s="52" t="str"/>
    </x:row>
    <x:row r="11" ht="84" customHeight="1">
      <x:c r="A11" s="53" t="str">
        <x:v>BUG-008</x:v>
      </x:c>
      <x:c r="B11" s="54" t="str">
        <x:v>Достижение «Все типы бустов» учитывает только три категории</x:v>
      </x:c>
      <x:c r="C11" s="54" t="str">
        <x:v>Достижения / Бусты</x:v>
      </x:c>
      <x:c r="D11" s="54" t="str">
        <x:v>Использован по одному бусту из Temporary, Permanent и Super.</x:v>
      </x:c>
      <x:c r="E11" s="54" t="str">
        <x:v>1. Использовать три буста из разных категорий.
2. Не использовать остальные типы.
3. Проверить прогресс достижения «Император бустов».</x:v>
      </x:c>
      <x:c r="F11" s="54" t="str">
        <x:v>boostTypesUsed хранит boost.category; после трёх категорий размер Set равен goal=3.</x:v>
      </x:c>
      <x:c r="G11" s="54" t="str">
        <x:v>Условие «все типы» должно учитывать идентификаторы всех 12 бустов либо формулировка должна говорить «все категории».</x:v>
      </x:c>
      <x:c r="H11" s="54" t="str">
        <x:v>Major</x:v>
      </x:c>
      <x:c r="I11" s="54" t="str">
        <x:v>High</x:v>
      </x:c>
      <x:c r="J11" s="54" t="str">
        <x:v>Подтвержден статическим анализом</x:v>
      </x:c>
      <x:c r="K11" s="54" t="str">
        <x:v>Все браузеры</x:v>
      </x:c>
      <x:c r="L11" s="54" t="str">
        <x:v>boostTypesUsed.add(boost.category); achievement 68 goal=3.</x:v>
      </x:c>
      <x:c r="M11" s="54" t="str">
        <x:v>script.js: buyBoost/grantBoostForReward, achievement 68</x:v>
      </x:c>
      <x:c r="N11" s="55" t="str"/>
    </x:row>
  </x:sheetData>
  <x:mergeCells>
    <x:mergeCell ref="A1:N1"/>
  </x:mergeCells>
  <x:conditionalFormatting sqref="H4:H11">
    <x:cfRule type="expression" dxfId="4" priority="1">
      <x:formula>H4="Blocker"</x:formula>
    </x:cfRule>
    <x:cfRule type="expression" dxfId="5" priority="2">
      <x:formula>H4="Critical"</x:formula>
    </x:cfRule>
    <x:cfRule type="expression" dxfId="6" priority="3">
      <x:formula>H4="Major"</x:formula>
    </x:cfRule>
    <x:cfRule type="expression" dxfId="7" priority="4">
      <x:formula>H4="Minor"</x:formula>
    </x:cfRule>
    <x:cfRule type="expression" dxfId="8" priority="5">
      <x:formula>H4="Trivial"</x:formula>
    </x:cfRule>
  </x:conditionalFormatting>
  <x:dataValidations count="3">
    <x:dataValidation type="list" sqref="H4:H11">
      <x:formula1>"Blocker,Critical,Major,Minor,Trivial"</x:formula1>
    </x:dataValidation>
    <x:dataValidation type="list" sqref="I4:I11">
      <x:formula1>"High,Medium,Low"</x:formula1>
    </x:dataValidation>
    <x:dataValidation type="list" sqref="J4:J11">
      <x:formula1>"Новый,Подтвержден,Подтвержден статическим анализом,В работе,Исправлен,Закрыт,Отклонен"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ca03fc8ec34e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0" hidden="0" customWidth="1"/>
    <x:col min="3" max="3" width="3" hidden="0" customWidth="1"/>
    <x:col min="4" max="4" width="34" hidden="0" customWidth="1"/>
    <x:col min="5" max="5" width="28" hidden="0" customWidth="1"/>
    <x:col min="6" max="6" width="3" hidden="0" customWidth="1"/>
    <x:col min="7" max="7" width="18" hidden="0" customWidth="1"/>
    <x:col min="8" max="8" width="15" hidden="0" customWidth="1"/>
  </x:cols>
  <x:sheetData>
    <x:row r="1" ht="32" customHeight="1">
      <x:c r="A1" s="96" t="str">
        <x:v>ROBO CLICKER — ОБЩИЕ СВЕДЕНИЯ И QA-ДАШБОРД</x:v>
      </x:c>
      <x:c r="B1" s="96"/>
      <x:c r="C1" s="96"/>
      <x:c r="D1" s="96"/>
      <x:c r="E1" s="96"/>
      <x:c r="F1" s="96"/>
      <x:c r="G1" s="96"/>
      <x:c r="H1" s="96"/>
    </x:row>
    <x:row r="2">
      <x:c r="A2" s="97"/>
      <x:c r="B2" s="97"/>
      <x:c r="C2" s="97"/>
      <x:c r="D2" s="97"/>
      <x:c r="E2" s="97"/>
      <x:c r="F2" s="97"/>
      <x:c r="G2" s="97"/>
      <x:c r="H2" s="97"/>
    </x:row>
    <x:row r="3" ht="34" customHeight="1">
      <x:c r="A3" s="21" t="str">
        <x:v>Параметр</x:v>
      </x:c>
      <x:c r="B3" s="23" t="str">
        <x:v>Значение</x:v>
      </x:c>
      <x:c r="C3" s="97"/>
      <x:c r="D3" s="21" t="str">
        <x:v>Статус чек-листа</x:v>
      </x:c>
      <x:c r="E3" s="23" t="str">
        <x:v>Количество</x:v>
      </x:c>
      <x:c r="F3" s="97"/>
      <x:c r="G3" s="21" t="str">
        <x:v>Severity</x:v>
      </x:c>
      <x:c r="H3" s="23" t="str">
        <x:v>Количество</x:v>
      </x:c>
    </x:row>
    <x:row r="4" ht="34" customHeight="1">
      <x:c r="A4" s="78" t="str">
        <x:v>Проект</x:v>
      </x:c>
      <x:c r="B4" s="52" t="str">
        <x:v>Robo Clicker / Clicker 2.0</x:v>
      </x:c>
      <x:c r="C4" s="97"/>
      <x:c r="D4" s="78" t="str">
        <x:v>Всего</x:v>
      </x:c>
      <x:c r="E4" s="52" t="n">
        <x:f>COUNTA('Чек-лист'!$A$4:$A$202)</x:f>
        <x:v>199</x:v>
      </x:c>
      <x:c r="F4" s="97"/>
      <x:c r="G4" s="78" t="str">
        <x:v>Всего</x:v>
      </x:c>
      <x:c r="H4" s="52" t="n">
        <x:f>COUNTA('Баг-репорты'!$A$4:$A$11)</x:f>
        <x:v>8</x:v>
      </x:c>
    </x:row>
    <x:row r="5" ht="34" customHeight="1">
      <x:c r="A5" s="78" t="str">
        <x:v>Тип продукта</x:v>
      </x:c>
      <x:c r="B5" s="52" t="str">
        <x:v>Браузерная clicker-игра</x:v>
      </x:c>
      <x:c r="C5" s="97"/>
      <x:c r="D5" s="78" t="str">
        <x:v>Не выполнено</x:v>
      </x:c>
      <x:c r="E5" s="52" t="n">
        <x:f>COUNTIF('Чек-лист'!$I$4:$I$202,"Не выполнено")</x:f>
        <x:v>199</x:v>
      </x:c>
      <x:c r="F5" s="97"/>
      <x:c r="G5" s="78" t="str">
        <x:v>Blocker</x:v>
      </x:c>
      <x:c r="H5" s="52" t="n">
        <x:f>COUNTIF('Баг-репорты'!$H$4:$H$11,"Blocker")</x:f>
        <x:v>0</x:v>
      </x:c>
    </x:row>
    <x:row r="6" ht="34" customHeight="1">
      <x:c r="A6" s="78" t="str">
        <x:v>Технологии</x:v>
      </x:c>
      <x:c r="B6" s="52" t="str">
        <x:v>HTML5, CSS3, JavaScript, localStorage, Web Audio, Yandex Games SDK</x:v>
      </x:c>
      <x:c r="C6" s="97"/>
      <x:c r="D6" s="78" t="str">
        <x:v>Пройдено</x:v>
      </x:c>
      <x:c r="E6" s="52" t="n">
        <x:f>COUNTIF('Чек-лист'!$I$4:$I$202,"Пройдено")</x:f>
        <x:v>0</x:v>
      </x:c>
      <x:c r="F6" s="97"/>
      <x:c r="G6" s="78" t="str">
        <x:v>Critical</x:v>
      </x:c>
      <x:c r="H6" s="52" t="n">
        <x:f>COUNTIF('Баг-репорты'!$H$4:$H$11,"Critical")</x:f>
        <x:v>0</x:v>
      </x:c>
    </x:row>
    <x:row r="7" ht="34" customHeight="1">
      <x:c r="A7" s="78" t="str">
        <x:v>Исходные файлы</x:v>
      </x:c>
      <x:c r="B7" s="52" t="str">
        <x:v>index.html, style.css, script.js, *.wav</x:v>
      </x:c>
      <x:c r="C7" s="97"/>
      <x:c r="D7" s="78" t="str">
        <x:v>Не пройдено</x:v>
      </x:c>
      <x:c r="E7" s="52" t="n">
        <x:f>COUNTIF('Чек-лист'!$I$4:$I$202,"Не пройдено")</x:f>
        <x:v>0</x:v>
      </x:c>
      <x:c r="F7" s="97"/>
      <x:c r="G7" s="78" t="str">
        <x:v>Major</x:v>
      </x:c>
      <x:c r="H7" s="52" t="n">
        <x:f>COUNTIF('Баг-репорты'!$H$4:$H$11,"Major")</x:f>
        <x:v>5</x:v>
      </x:c>
    </x:row>
    <x:row r="8" ht="34" customHeight="1">
      <x:c r="A8" s="78" t="str">
        <x:v>Основные функции</x:v>
      </x:c>
      <x:c r="B8" s="52" t="str">
        <x:v>Кликер, уровни, улучшения, роботы, 16 скинов, 12 бустов, 80 достижений, статистика, RU/EN, темы, SDK-реклама</x:v>
      </x:c>
      <x:c r="C8" s="97"/>
      <x:c r="D8" s="78" t="str">
        <x:v>Заблокировано</x:v>
      </x:c>
      <x:c r="E8" s="52" t="n">
        <x:f>COUNTIF('Чек-лист'!$I$4:$I$202,"Заблокировано")</x:f>
        <x:v>0</x:v>
      </x:c>
      <x:c r="F8" s="97"/>
      <x:c r="G8" s="78" t="str">
        <x:v>Minor</x:v>
      </x:c>
      <x:c r="H8" s="52" t="n">
        <x:f>COUNTIF('Баг-репорты'!$H$4:$H$11,"Minor")</x:f>
        <x:v>3</x:v>
      </x:c>
    </x:row>
    <x:row r="9" ht="34" customHeight="1">
      <x:c r="A9" s="78" t="str">
        <x:v>Дата анализа</x:v>
      </x:c>
      <x:c r="B9" s="52" t="str">
        <x:v>2026-07-16</x:v>
      </x:c>
      <x:c r="C9" s="97"/>
      <x:c r="D9" s="79" t="str">
        <x:v>Не применимо</x:v>
      </x:c>
      <x:c r="E9" s="55" t="n">
        <x:f>COUNTIF('Чек-лист'!$I$4:$I$202,"Не применимо")</x:f>
        <x:v>0</x:v>
      </x:c>
      <x:c r="F9" s="97"/>
      <x:c r="G9" s="79" t="str">
        <x:v>Trivial</x:v>
      </x:c>
      <x:c r="H9" s="55" t="n">
        <x:f>COUNTIF('Баг-репорты'!$H$4:$H$11,"Trivial")</x:f>
        <x:v>0</x:v>
      </x:c>
    </x:row>
    <x:row r="10" ht="34" customHeight="1">
      <x:c r="A10" s="78" t="str">
        <x:v>Количество проверок</x:v>
      </x:c>
      <x:c r="B10" s="52" t="n">
        <x:v>199</x:v>
      </x:c>
      <x:c r="C10" s="97"/>
      <x:c r="D10" s="97"/>
      <x:c r="E10" s="97"/>
      <x:c r="F10" s="97"/>
      <x:c r="G10" s="97"/>
      <x:c r="H10" s="97"/>
    </x:row>
    <x:row r="11" ht="34" customHeight="1">
      <x:c r="A11" s="78" t="str">
        <x:v>Количество дефектов/кандидатов</x:v>
      </x:c>
      <x:c r="B11" s="52" t="n">
        <x:v>8</x:v>
      </x:c>
      <x:c r="C11" s="97"/>
      <x:c r="D11" s="97"/>
      <x:c r="E11" s="97"/>
      <x:c r="F11" s="97"/>
      <x:c r="G11" s="97"/>
      <x:c r="H11" s="97"/>
    </x:row>
    <x:row r="12" ht="34" customHeight="1">
      <x:c r="A12" s="78" t="str">
        <x:v>Количество тест-кейсов</x:v>
      </x:c>
      <x:c r="B12" s="52" t="n">
        <x:v>26</x:v>
      </x:c>
      <x:c r="C12" s="97"/>
      <x:c r="D12" s="21" t="str">
        <x:v>Состав QA-портфолио</x:v>
      </x:c>
      <x:c r="E12" s="22"/>
      <x:c r="F12" s="22"/>
      <x:c r="G12" s="22"/>
      <x:c r="H12" s="23"/>
    </x:row>
    <x:row r="13" ht="34" customHeight="1">
      <x:c r="A13" s="78" t="str">
        <x:v>Автоматизация</x:v>
      </x:c>
      <x:c r="B13" s="52" t="str">
        <x:v>Playwright E2E: desktop Chromium + mobile Chromium</x:v>
      </x:c>
      <x:c r="C13" s="97"/>
      <x:c r="D13" s="21" t="str">
        <x:v>Документ</x:v>
      </x:c>
      <x:c r="E13" s="23" t="str">
        <x:v>Назначение</x:v>
      </x:c>
      <x:c r="F13" s="97"/>
      <x:c r="G13" s="97"/>
      <x:c r="H13" s="97"/>
    </x:row>
    <x:row r="14" ht="34" customHeight="1">
      <x:c r="A14" s="78" t="str">
        <x:v>CI</x:v>
      </x:c>
      <x:c r="B14" s="52" t="str">
        <x:v>GitHub Actions: push, pull_request, workflow_dispatch</x:v>
      </x:c>
      <x:c r="C14" s="97"/>
      <x:c r="D14" s="50" t="str">
        <x:v>qa/TEST_PLAN.md</x:v>
      </x:c>
      <x:c r="E14" s="52" t="str">
        <x:v>Объём, стратегия, риски и критерии завершения</x:v>
      </x:c>
      <x:c r="F14" s="97"/>
      <x:c r="G14" s="97"/>
      <x:c r="H14" s="97"/>
    </x:row>
    <x:row r="15" ht="34" customHeight="1">
      <x:c r="A15" s="79" t="str">
        <x:v>Ограничение результата</x:v>
      </x:c>
      <x:c r="B15" s="55" t="str">
        <x:v>Подтверждены статический анализ и изолированный Chromium-smoke; полный HTTP/SDK-прогон выполняется локально или в CI.</x:v>
      </x:c>
      <x:c r="C15" s="97"/>
      <x:c r="D15" s="50" t="str">
        <x:v>qa/CHECKLIST.md</x:v>
      </x:c>
      <x:c r="E15" s="52" t="str">
        <x:v>199 проверок</x:v>
      </x:c>
      <x:c r="F15" s="97"/>
      <x:c r="G15" s="97"/>
      <x:c r="H15" s="97"/>
    </x:row>
    <x:row r="16">
      <x:c r="A16" s="97"/>
      <x:c r="B16" s="97"/>
      <x:c r="C16" s="97"/>
      <x:c r="D16" s="50" t="str">
        <x:v>qa/TEST_CASES.md</x:v>
      </x:c>
      <x:c r="E16" s="52" t="str">
        <x:v>26 подробных сценариев</x:v>
      </x:c>
      <x:c r="F16" s="97"/>
      <x:c r="G16" s="97"/>
      <x:c r="H16" s="97"/>
    </x:row>
    <x:row r="17">
      <x:c r="A17" s="97"/>
      <x:c r="B17" s="97"/>
      <x:c r="C17" s="97"/>
      <x:c r="D17" s="50" t="str">
        <x:v>qa/BUG_REPORTS.md</x:v>
      </x:c>
      <x:c r="E17" s="52" t="str">
        <x:v>8 дефектов/кандидатов</x:v>
      </x:c>
      <x:c r="F17" s="97"/>
      <x:c r="G17" s="97"/>
      <x:c r="H17" s="97"/>
    </x:row>
    <x:row r="18">
      <x:c r="A18" s="21" t="str">
        <x:v>Официальные источники и справочная документация</x:v>
      </x:c>
      <x:c r="B18" s="22"/>
      <x:c r="C18" s="22"/>
      <x:c r="D18" s="89" t="str">
        <x:v>qa/TRACEABILITY_MATRIX.md</x:v>
      </x:c>
      <x:c r="E18" s="90" t="str">
        <x:v>Связь модулей, рисков и покрытия</x:v>
      </x:c>
      <x:c r="F18" s="22"/>
      <x:c r="G18" s="22"/>
      <x:c r="H18" s="23"/>
    </x:row>
    <x:row r="19">
      <x:c r="A19" s="78" t="str">
        <x:v>Playwright: webServer</x:v>
      </x:c>
      <x:c r="B19" s="52" t="str">
        <x:v>https://playwright.dev/docs/test-webserver</x:v>
      </x:c>
      <x:c r="C19" s="97"/>
      <x:c r="D19" s="50" t="str">
        <x:v>qa/TEST_SUMMARY.md</x:v>
      </x:c>
      <x:c r="E19" s="52" t="str">
        <x:v>Результаты анализа и ограничения</x:v>
      </x:c>
      <x:c r="F19" s="97"/>
      <x:c r="G19" s="97"/>
      <x:c r="H19" s="97"/>
    </x:row>
    <x:row r="20">
      <x:c r="A20" s="78" t="str">
        <x:v>Playwright: запуск тестов</x:v>
      </x:c>
      <x:c r="B20" s="52" t="str">
        <x:v>https://playwright.dev/docs/running-tests</x:v>
      </x:c>
      <x:c r="C20" s="97"/>
      <x:c r="D20" s="50" t="str">
        <x:v>tests/e2e/clicker.spec.js</x:v>
      </x:c>
      <x:c r="E20" s="52" t="str">
        <x:v>UI smoke/regression на Playwright</x:v>
      </x:c>
      <x:c r="F20" s="97"/>
      <x:c r="G20" s="97"/>
      <x:c r="H20" s="97"/>
    </x:row>
    <x:row r="21">
      <x:c r="A21" s="78" t="str">
        <x:v>GitHub Actions: workflow syntax</x:v>
      </x:c>
      <x:c r="B21" s="52" t="str">
        <x:v>https://docs.github.com/actions/using-workflows/workflow-syntax-for-github-actions</x:v>
      </x:c>
      <x:c r="C21" s="97"/>
      <x:c r="D21" s="50" t="str">
        <x:v>.github/workflows/e2e.yml</x:v>
      </x:c>
      <x:c r="E21" s="52" t="str">
        <x:v>CI-запуск E2E</x:v>
      </x:c>
      <x:c r="F21" s="97"/>
      <x:c r="G21" s="97"/>
      <x:c r="H21" s="97"/>
    </x:row>
    <x:row r="22">
      <x:c r="A22" s="79" t="str">
        <x:v>GitHub Issue Forms</x:v>
      </x:c>
      <x:c r="B22" s="55" t="str">
        <x:v>https://docs.github.com/en/communities/using-templates-to-encourage-useful-issues-and-pull-requests/syntax-for-issue-forms</x:v>
      </x:c>
      <x:c r="C22" s="97"/>
      <x:c r="D22" s="50" t="str">
        <x:v>.github/ISSUE_TEMPLATE/bug_report.yml</x:v>
      </x:c>
      <x:c r="E22" s="52" t="str">
        <x:v>Форма регистрации дефекта</x:v>
      </x:c>
      <x:c r="F22" s="97"/>
      <x:c r="G22" s="97"/>
      <x:c r="H22" s="97"/>
    </x:row>
    <x:row r="23">
      <x:c r="A23" s="97"/>
      <x:c r="B23" s="97"/>
      <x:c r="C23" s="97"/>
      <x:c r="D23" s="53" t="str">
        <x:v>qa/Robo_Clicker_QA.xlsx</x:v>
      </x:c>
      <x:c r="E23" s="55" t="str">
        <x:v>Рабочая Excel-книга тестировщика</x:v>
      </x:c>
      <x:c r="F23" s="97"/>
      <x:c r="G23" s="97"/>
      <x:c r="H23" s="97"/>
    </x:row>
    <x:row r="24">
      <x:c r="A24" s="97"/>
      <x:c r="B24" s="97"/>
      <x:c r="C24" s="97"/>
      <x:c r="D24" s="97"/>
      <x:c r="E24" s="97"/>
      <x:c r="F24" s="97"/>
      <x:c r="G24" s="97"/>
      <x:c r="H24" s="97"/>
    </x:row>
  </x:sheetData>
  <x:mergeCells>
    <x:mergeCell ref="A1:H1"/>
    <x:mergeCell ref="A18:H18"/>
    <x:mergeCell ref="D12:H12"/>
  </x:mergeCells>
  <x:pageMargins left="0.7" right="0.7" top="0.75" bottom="0.75" header="0.3" footer="0.3"/>
  <x:drawing xmlns:r="http://schemas.openxmlformats.org/officeDocument/2006/relationships" r:id="R4a38bdd692004e7c"/>
</x:worksheet>
</file>